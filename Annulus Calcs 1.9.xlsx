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6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4F3620FE-738B-4D9E-9F00-F5C26F9B4F4F}" xr6:coauthVersionLast="47" xr6:coauthVersionMax="47" xr10:uidLastSave="{00000000-0000-0000-0000-000000000000}"/>
  <bookViews>
    <workbookView xWindow="24" yWindow="624" windowWidth="23016" windowHeight="12336" activeTab="8" xr2:uid="{F97A1CA1-D276-4486-A687-77D8D42B91EF}"/>
  </bookViews>
  <sheets>
    <sheet name="Basic Calcs Comparison" sheetId="16" r:id="rId1"/>
    <sheet name="gravity chart" sheetId="20" state="hidden" r:id="rId2"/>
    <sheet name="Sheet7" sheetId="19" state="hidden" r:id="rId3"/>
    <sheet name="Chart Comparison" sheetId="17" state="hidden" r:id="rId4"/>
    <sheet name="Materials Properties" sheetId="18" r:id="rId5"/>
    <sheet name="Basic Calcs" sheetId="2" state="hidden" r:id="rId6"/>
    <sheet name="Materials Table" sheetId="3" state="hidden" r:id="rId7"/>
    <sheet name="Charts" sheetId="1" state="hidden" r:id="rId8"/>
    <sheet name="Basic Calcs 100m" sheetId="4" r:id="rId9"/>
    <sheet name="Charts 100m" sheetId="6" state="hidden" r:id="rId10"/>
    <sheet name="Materials Table 100m" sheetId="5" state="hidden" r:id="rId11"/>
    <sheet name="Charts All" sheetId="14" state="hidden" r:id="rId12"/>
    <sheet name="Materials Table All" sheetId="15" state="hidden" r:id="rId13"/>
    <sheet name="Basic Calcs 1km" sheetId="7" r:id="rId14"/>
    <sheet name="Charts 1km" sheetId="8" state="hidden" r:id="rId15"/>
    <sheet name="Materials Table 1km" sheetId="9" state="hidden" r:id="rId16"/>
    <sheet name="Basic Calcs 10km" sheetId="10" r:id="rId17"/>
    <sheet name="Data for Figures" sheetId="21" r:id="rId18"/>
    <sheet name="Torus Calcs" sheetId="22" r:id="rId19"/>
    <sheet name="Charts 100km" sheetId="11" state="hidden" r:id="rId20"/>
    <sheet name="Materials Table 100km" sheetId="12" state="hidden" r:id="rId21"/>
    <sheet name="Basic Calcs All" sheetId="13" state="hidden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2" i="10" l="1"/>
  <c r="D72" i="10"/>
  <c r="E69" i="10"/>
  <c r="D69" i="10"/>
  <c r="D66" i="10"/>
  <c r="E66" i="10"/>
  <c r="F27" i="10"/>
  <c r="F28" i="10" s="1"/>
  <c r="D7" i="10"/>
  <c r="F7" i="10"/>
  <c r="K52" i="7"/>
  <c r="K51" i="7"/>
  <c r="F36" i="22"/>
  <c r="E36" i="22"/>
  <c r="D35" i="22"/>
  <c r="F35" i="22"/>
  <c r="E35" i="22"/>
  <c r="E11" i="22"/>
  <c r="F11" i="22"/>
  <c r="D11" i="22"/>
  <c r="G10" i="22"/>
  <c r="F34" i="22"/>
  <c r="E34" i="22"/>
  <c r="D34" i="22"/>
  <c r="F19" i="22"/>
  <c r="E19" i="22"/>
  <c r="D19" i="22"/>
  <c r="D23" i="22" s="1"/>
  <c r="D24" i="22" s="1"/>
  <c r="F15" i="22"/>
  <c r="E15" i="22"/>
  <c r="D15" i="22"/>
  <c r="F14" i="22"/>
  <c r="F17" i="22" s="1"/>
  <c r="E14" i="22"/>
  <c r="D14" i="22"/>
  <c r="D17" i="22" s="1"/>
  <c r="F12" i="22"/>
  <c r="F30" i="22" s="1"/>
  <c r="F31" i="22" s="1"/>
  <c r="E12" i="22"/>
  <c r="E20" i="22" s="1"/>
  <c r="D12" i="22"/>
  <c r="D18" i="22" s="1"/>
  <c r="E17" i="22" l="1"/>
  <c r="F20" i="22"/>
  <c r="F21" i="22" s="1"/>
  <c r="E21" i="22"/>
  <c r="E18" i="22"/>
  <c r="F23" i="22"/>
  <c r="F24" i="22" s="1"/>
  <c r="D30" i="22"/>
  <c r="D31" i="22" s="1"/>
  <c r="E23" i="22"/>
  <c r="E24" i="22" s="1"/>
  <c r="F18" i="22"/>
  <c r="D20" i="22"/>
  <c r="D21" i="22" s="1"/>
  <c r="E30" i="22"/>
  <c r="E31" i="22" s="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34" i="21"/>
  <c r="D30" i="21"/>
  <c r="D29" i="21"/>
  <c r="D26" i="21"/>
  <c r="D25" i="21"/>
  <c r="D22" i="21"/>
  <c r="D21" i="21"/>
  <c r="D19" i="21"/>
  <c r="D18" i="21"/>
  <c r="D17" i="21"/>
  <c r="D16" i="21"/>
  <c r="D15" i="21"/>
  <c r="D12" i="21"/>
  <c r="D11" i="21"/>
  <c r="D10" i="21"/>
  <c r="D9" i="21"/>
  <c r="D8" i="21"/>
  <c r="D2" i="21"/>
  <c r="D3" i="21"/>
  <c r="D4" i="21"/>
  <c r="D5" i="21"/>
  <c r="D1" i="21"/>
  <c r="D89" i="20"/>
  <c r="E89" i="20"/>
  <c r="F89" i="20"/>
  <c r="G89" i="20"/>
  <c r="H89" i="20"/>
  <c r="I89" i="20"/>
  <c r="J89" i="20"/>
  <c r="K89" i="20"/>
  <c r="L89" i="20"/>
  <c r="M89" i="20"/>
  <c r="N89" i="20"/>
  <c r="C89" i="20"/>
  <c r="D84" i="20"/>
  <c r="E84" i="20"/>
  <c r="F84" i="20"/>
  <c r="G84" i="20"/>
  <c r="H84" i="20"/>
  <c r="I84" i="20"/>
  <c r="J84" i="20"/>
  <c r="K84" i="20"/>
  <c r="L84" i="20"/>
  <c r="M84" i="20"/>
  <c r="N84" i="20"/>
  <c r="D85" i="20"/>
  <c r="C85" i="20"/>
  <c r="C84" i="20"/>
  <c r="E7" i="20"/>
  <c r="E15" i="20" s="1"/>
  <c r="E9" i="20"/>
  <c r="E10" i="20"/>
  <c r="E14" i="20"/>
  <c r="E18" i="20" s="1"/>
  <c r="E19" i="20" s="1"/>
  <c r="E25" i="20"/>
  <c r="E26" i="20" s="1"/>
  <c r="E29" i="20"/>
  <c r="E37" i="20"/>
  <c r="E38" i="20" s="1"/>
  <c r="G7" i="20"/>
  <c r="G15" i="20" s="1"/>
  <c r="H7" i="20"/>
  <c r="H13" i="20" s="1"/>
  <c r="I7" i="20"/>
  <c r="I25" i="20" s="1"/>
  <c r="I26" i="20" s="1"/>
  <c r="J7" i="20"/>
  <c r="K7" i="20"/>
  <c r="K13" i="20" s="1"/>
  <c r="L7" i="20"/>
  <c r="L25" i="20" s="1"/>
  <c r="L26" i="20" s="1"/>
  <c r="M7" i="20"/>
  <c r="M25" i="20" s="1"/>
  <c r="M26" i="20" s="1"/>
  <c r="N7" i="20"/>
  <c r="G9" i="20"/>
  <c r="H9" i="20"/>
  <c r="I9" i="20"/>
  <c r="J9" i="20"/>
  <c r="K9" i="20"/>
  <c r="L9" i="20"/>
  <c r="M9" i="20"/>
  <c r="N9" i="20"/>
  <c r="G10" i="20"/>
  <c r="H10" i="20"/>
  <c r="I10" i="20"/>
  <c r="I12" i="20" s="1"/>
  <c r="J10" i="20"/>
  <c r="K10" i="20"/>
  <c r="L10" i="20"/>
  <c r="M10" i="20"/>
  <c r="M12" i="20" s="1"/>
  <c r="M44" i="20" s="1"/>
  <c r="N10" i="20"/>
  <c r="N12" i="20" s="1"/>
  <c r="N44" i="20" s="1"/>
  <c r="G14" i="20"/>
  <c r="G18" i="20" s="1"/>
  <c r="G19" i="20" s="1"/>
  <c r="H14" i="20"/>
  <c r="H18" i="20" s="1"/>
  <c r="H19" i="20" s="1"/>
  <c r="I14" i="20"/>
  <c r="I18" i="20" s="1"/>
  <c r="I19" i="20" s="1"/>
  <c r="J14" i="20"/>
  <c r="K14" i="20"/>
  <c r="L14" i="20"/>
  <c r="M14" i="20"/>
  <c r="M18" i="20" s="1"/>
  <c r="M19" i="20" s="1"/>
  <c r="N14" i="20"/>
  <c r="H15" i="20"/>
  <c r="K15" i="20"/>
  <c r="L15" i="20"/>
  <c r="J18" i="20"/>
  <c r="J19" i="20" s="1"/>
  <c r="N18" i="20"/>
  <c r="N19" i="20" s="1"/>
  <c r="G25" i="20"/>
  <c r="G26" i="20" s="1"/>
  <c r="G29" i="20"/>
  <c r="H29" i="20"/>
  <c r="I29" i="20"/>
  <c r="J29" i="20"/>
  <c r="K29" i="20"/>
  <c r="L29" i="20"/>
  <c r="M29" i="20"/>
  <c r="N29" i="20"/>
  <c r="I44" i="20"/>
  <c r="G51" i="20"/>
  <c r="H51" i="20"/>
  <c r="I51" i="20"/>
  <c r="J51" i="20"/>
  <c r="K51" i="20"/>
  <c r="L51" i="20"/>
  <c r="M51" i="20"/>
  <c r="N51" i="20"/>
  <c r="G63" i="20"/>
  <c r="H63" i="20"/>
  <c r="I63" i="20"/>
  <c r="J63" i="20"/>
  <c r="K63" i="20"/>
  <c r="L63" i="20"/>
  <c r="M63" i="20"/>
  <c r="N63" i="20"/>
  <c r="F63" i="20"/>
  <c r="D63" i="20"/>
  <c r="C63" i="20"/>
  <c r="F51" i="20"/>
  <c r="D51" i="20"/>
  <c r="C51" i="20"/>
  <c r="D37" i="20"/>
  <c r="D38" i="20" s="1"/>
  <c r="C37" i="20"/>
  <c r="C38" i="20" s="1"/>
  <c r="D36" i="20"/>
  <c r="C36" i="20"/>
  <c r="F29" i="20"/>
  <c r="D29" i="20"/>
  <c r="C29" i="20"/>
  <c r="F14" i="20"/>
  <c r="D14" i="20"/>
  <c r="D18" i="20" s="1"/>
  <c r="D19" i="20" s="1"/>
  <c r="C14" i="20"/>
  <c r="C18" i="20" s="1"/>
  <c r="C19" i="20" s="1"/>
  <c r="F10" i="20"/>
  <c r="D10" i="20"/>
  <c r="C10" i="20"/>
  <c r="F9" i="20"/>
  <c r="D9" i="20"/>
  <c r="C9" i="20"/>
  <c r="F7" i="20"/>
  <c r="F15" i="20" s="1"/>
  <c r="D7" i="20"/>
  <c r="D15" i="20" s="1"/>
  <c r="C7" i="20"/>
  <c r="C13" i="20" s="1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N3" i="12"/>
  <c r="N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I2" i="12"/>
  <c r="H2" i="12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" i="9"/>
  <c r="N4" i="9"/>
  <c r="N3" i="9"/>
  <c r="N2" i="9"/>
  <c r="H3" i="9"/>
  <c r="I3" i="9"/>
  <c r="H4" i="9"/>
  <c r="I4" i="9"/>
  <c r="H5" i="9"/>
  <c r="I5" i="9"/>
  <c r="H6" i="9"/>
  <c r="I6" i="9"/>
  <c r="H7" i="9"/>
  <c r="I7" i="9"/>
  <c r="H8" i="9"/>
  <c r="I8" i="9"/>
  <c r="H9" i="9"/>
  <c r="I9" i="9"/>
  <c r="H10" i="9"/>
  <c r="I10" i="9"/>
  <c r="H11" i="9"/>
  <c r="I11" i="9"/>
  <c r="H12" i="9"/>
  <c r="I12" i="9"/>
  <c r="H13" i="9"/>
  <c r="I13" i="9"/>
  <c r="H14" i="9"/>
  <c r="I14" i="9"/>
  <c r="H15" i="9"/>
  <c r="I15" i="9"/>
  <c r="H16" i="9"/>
  <c r="I16" i="9"/>
  <c r="H17" i="9"/>
  <c r="I17" i="9"/>
  <c r="H18" i="9"/>
  <c r="I18" i="9"/>
  <c r="H19" i="9"/>
  <c r="I19" i="9"/>
  <c r="H20" i="9"/>
  <c r="I20" i="9"/>
  <c r="H21" i="9"/>
  <c r="I21" i="9"/>
  <c r="I2" i="9"/>
  <c r="H2" i="9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" i="5"/>
  <c r="F7" i="16"/>
  <c r="E7" i="16"/>
  <c r="E13" i="16" s="1"/>
  <c r="D7" i="16"/>
  <c r="D15" i="16" s="1"/>
  <c r="N5" i="18"/>
  <c r="C4" i="18"/>
  <c r="F4" i="18" s="1"/>
  <c r="L3" i="18"/>
  <c r="E3" i="18"/>
  <c r="D3" i="18"/>
  <c r="G3" i="18" s="1"/>
  <c r="C3" i="18"/>
  <c r="F3" i="18" s="1"/>
  <c r="B3" i="18"/>
  <c r="B4" i="18" s="1"/>
  <c r="M2" i="18"/>
  <c r="L2" i="18"/>
  <c r="K2" i="18"/>
  <c r="G2" i="18"/>
  <c r="F2" i="18"/>
  <c r="E2" i="18"/>
  <c r="D9" i="17"/>
  <c r="C9" i="17"/>
  <c r="B9" i="17"/>
  <c r="D2" i="17"/>
  <c r="D5" i="17" s="1"/>
  <c r="C2" i="17"/>
  <c r="C5" i="17" s="1"/>
  <c r="B2" i="17"/>
  <c r="B5" i="17" s="1"/>
  <c r="E88" i="16"/>
  <c r="G71" i="16"/>
  <c r="G70" i="16"/>
  <c r="F63" i="16"/>
  <c r="E63" i="16"/>
  <c r="F51" i="16"/>
  <c r="E51" i="16"/>
  <c r="F37" i="16"/>
  <c r="F38" i="16" s="1"/>
  <c r="E37" i="16"/>
  <c r="E38" i="16" s="1"/>
  <c r="D37" i="16"/>
  <c r="D38" i="16" s="1"/>
  <c r="F36" i="16"/>
  <c r="F41" i="16" s="1"/>
  <c r="E36" i="16"/>
  <c r="E41" i="16" s="1"/>
  <c r="D36" i="16"/>
  <c r="F29" i="16"/>
  <c r="E29" i="16"/>
  <c r="D29" i="16"/>
  <c r="G27" i="16"/>
  <c r="E25" i="16"/>
  <c r="E26" i="16" s="1"/>
  <c r="F14" i="16"/>
  <c r="F18" i="16" s="1"/>
  <c r="F19" i="16" s="1"/>
  <c r="E14" i="16"/>
  <c r="E18" i="16" s="1"/>
  <c r="E19" i="16" s="1"/>
  <c r="D14" i="16"/>
  <c r="F10" i="16"/>
  <c r="E10" i="16"/>
  <c r="D10" i="16"/>
  <c r="F9" i="16"/>
  <c r="E9" i="16"/>
  <c r="E12" i="16" s="1"/>
  <c r="E44" i="16" s="1"/>
  <c r="D9" i="16"/>
  <c r="F15" i="16"/>
  <c r="E9" i="13"/>
  <c r="F9" i="13"/>
  <c r="E10" i="13"/>
  <c r="F10" i="13"/>
  <c r="F12" i="13" s="1"/>
  <c r="E23" i="13"/>
  <c r="E24" i="13" s="1"/>
  <c r="F23" i="13"/>
  <c r="F24" i="13"/>
  <c r="E12" i="13"/>
  <c r="E13" i="13"/>
  <c r="F13" i="13"/>
  <c r="E14" i="13"/>
  <c r="F14" i="13"/>
  <c r="E15" i="13"/>
  <c r="E16" i="13" s="1"/>
  <c r="F15" i="13"/>
  <c r="F16" i="13" s="1"/>
  <c r="E18" i="13"/>
  <c r="E19" i="13" s="1"/>
  <c r="F18" i="13"/>
  <c r="F19" i="13"/>
  <c r="E31" i="13"/>
  <c r="F31" i="13"/>
  <c r="E32" i="13"/>
  <c r="E33" i="13" s="1"/>
  <c r="F32" i="13"/>
  <c r="F33" i="13" s="1"/>
  <c r="F7" i="13"/>
  <c r="F7" i="7"/>
  <c r="E7" i="13"/>
  <c r="N5" i="15"/>
  <c r="K3" i="15"/>
  <c r="E3" i="15"/>
  <c r="D3" i="15"/>
  <c r="C3" i="15"/>
  <c r="F3" i="15" s="1"/>
  <c r="B3" i="15"/>
  <c r="B4" i="15" s="1"/>
  <c r="M2" i="15"/>
  <c r="L2" i="15"/>
  <c r="K2" i="15"/>
  <c r="G2" i="15"/>
  <c r="F2" i="15"/>
  <c r="E2" i="15"/>
  <c r="B11" i="14"/>
  <c r="B10" i="14"/>
  <c r="D9" i="14"/>
  <c r="C9" i="14"/>
  <c r="B9" i="14"/>
  <c r="B8" i="14"/>
  <c r="B6" i="14"/>
  <c r="D2" i="14"/>
  <c r="D5" i="14" s="1"/>
  <c r="C2" i="14"/>
  <c r="C5" i="14" s="1"/>
  <c r="B2" i="14"/>
  <c r="B5" i="14" s="1"/>
  <c r="E81" i="13"/>
  <c r="G64" i="13"/>
  <c r="G63" i="13"/>
  <c r="D56" i="13"/>
  <c r="D45" i="13"/>
  <c r="E82" i="13"/>
  <c r="E83" i="13" s="1"/>
  <c r="E84" i="13" s="1"/>
  <c r="D32" i="13"/>
  <c r="D33" i="13" s="1"/>
  <c r="D31" i="13"/>
  <c r="D36" i="13" s="1"/>
  <c r="D35" i="13" s="1"/>
  <c r="G23" i="13"/>
  <c r="D14" i="13"/>
  <c r="D18" i="13" s="1"/>
  <c r="D19" i="13" s="1"/>
  <c r="D10" i="13"/>
  <c r="E38" i="13"/>
  <c r="D9" i="13"/>
  <c r="D12" i="13" s="1"/>
  <c r="D38" i="13" s="1"/>
  <c r="D7" i="13"/>
  <c r="D15" i="13" s="1"/>
  <c r="F22" i="22" l="1"/>
  <c r="F27" i="22" s="1"/>
  <c r="F28" i="22" s="1"/>
  <c r="F25" i="22"/>
  <c r="F26" i="22" s="1"/>
  <c r="E22" i="22"/>
  <c r="E27" i="22" s="1"/>
  <c r="E28" i="22" s="1"/>
  <c r="D25" i="22"/>
  <c r="D22" i="22"/>
  <c r="D27" i="22" s="1"/>
  <c r="D28" i="22" s="1"/>
  <c r="E25" i="22"/>
  <c r="F36" i="20"/>
  <c r="F37" i="20"/>
  <c r="F38" i="20" s="1"/>
  <c r="F85" i="20"/>
  <c r="E36" i="20"/>
  <c r="E85" i="20"/>
  <c r="J12" i="20"/>
  <c r="J44" i="20" s="1"/>
  <c r="E12" i="20"/>
  <c r="H12" i="20"/>
  <c r="H44" i="20" s="1"/>
  <c r="H25" i="20"/>
  <c r="H26" i="20" s="1"/>
  <c r="C41" i="20"/>
  <c r="C66" i="20" s="1"/>
  <c r="H16" i="20"/>
  <c r="H17" i="20" s="1"/>
  <c r="H22" i="20" s="1"/>
  <c r="H23" i="20" s="1"/>
  <c r="D41" i="20"/>
  <c r="D66" i="20" s="1"/>
  <c r="I15" i="20"/>
  <c r="I16" i="20" s="1"/>
  <c r="G12" i="20"/>
  <c r="G44" i="20" s="1"/>
  <c r="M15" i="20"/>
  <c r="M16" i="20" s="1"/>
  <c r="M13" i="20"/>
  <c r="M20" i="20"/>
  <c r="L13" i="20"/>
  <c r="L12" i="20"/>
  <c r="L44" i="20" s="1"/>
  <c r="K25" i="20"/>
  <c r="K26" i="20" s="1"/>
  <c r="K12" i="20"/>
  <c r="K44" i="20" s="1"/>
  <c r="K16" i="20"/>
  <c r="K17" i="20" s="1"/>
  <c r="I13" i="20"/>
  <c r="G13" i="20"/>
  <c r="G16" i="20"/>
  <c r="E13" i="20"/>
  <c r="E16" i="20"/>
  <c r="E20" i="20" s="1"/>
  <c r="F41" i="20"/>
  <c r="F40" i="20" s="1"/>
  <c r="F12" i="20"/>
  <c r="F44" i="20" s="1"/>
  <c r="N25" i="20"/>
  <c r="N26" i="20" s="1"/>
  <c r="N13" i="20"/>
  <c r="N15" i="20"/>
  <c r="N16" i="20" s="1"/>
  <c r="N20" i="20" s="1"/>
  <c r="J25" i="20"/>
  <c r="J26" i="20" s="1"/>
  <c r="J13" i="20"/>
  <c r="J15" i="20"/>
  <c r="J16" i="20" s="1"/>
  <c r="J20" i="20" s="1"/>
  <c r="L16" i="20"/>
  <c r="L18" i="20"/>
  <c r="L19" i="20" s="1"/>
  <c r="I20" i="20"/>
  <c r="K18" i="20"/>
  <c r="K19" i="20" s="1"/>
  <c r="C12" i="20"/>
  <c r="C44" i="20" s="1"/>
  <c r="C45" i="20" s="1"/>
  <c r="C46" i="20" s="1"/>
  <c r="F16" i="20"/>
  <c r="D12" i="20"/>
  <c r="D44" i="20" s="1"/>
  <c r="D45" i="20" s="1"/>
  <c r="D46" i="20" s="1"/>
  <c r="C25" i="20"/>
  <c r="C26" i="20" s="1"/>
  <c r="F25" i="20"/>
  <c r="F26" i="20" s="1"/>
  <c r="D13" i="20"/>
  <c r="F18" i="20"/>
  <c r="F19" i="20" s="1"/>
  <c r="F13" i="20"/>
  <c r="C15" i="20"/>
  <c r="C16" i="20" s="1"/>
  <c r="D16" i="20"/>
  <c r="D20" i="20" s="1"/>
  <c r="D25" i="20"/>
  <c r="D26" i="20" s="1"/>
  <c r="K3" i="18"/>
  <c r="E89" i="16"/>
  <c r="E90" i="16" s="1"/>
  <c r="E91" i="16" s="1"/>
  <c r="E45" i="16"/>
  <c r="E46" i="16" s="1"/>
  <c r="C3" i="17" s="1"/>
  <c r="F66" i="16"/>
  <c r="D15" i="17" s="1"/>
  <c r="D16" i="16"/>
  <c r="D12" i="16"/>
  <c r="D44" i="16" s="1"/>
  <c r="D45" i="16" s="1"/>
  <c r="D46" i="16" s="1"/>
  <c r="B3" i="17" s="1"/>
  <c r="D25" i="16"/>
  <c r="D26" i="16" s="1"/>
  <c r="F12" i="16"/>
  <c r="F44" i="16" s="1"/>
  <c r="F45" i="16" s="1"/>
  <c r="F46" i="16" s="1"/>
  <c r="D3" i="17" s="1"/>
  <c r="E4" i="18"/>
  <c r="B5" i="18"/>
  <c r="K4" i="18"/>
  <c r="D4" i="18"/>
  <c r="C5" i="18"/>
  <c r="M3" i="18"/>
  <c r="L4" i="18"/>
  <c r="E42" i="16"/>
  <c r="E40" i="16"/>
  <c r="F69" i="16"/>
  <c r="D16" i="17" s="1"/>
  <c r="F40" i="16"/>
  <c r="F42" i="16"/>
  <c r="E66" i="16"/>
  <c r="C15" i="17" s="1"/>
  <c r="E15" i="16"/>
  <c r="E16" i="16" s="1"/>
  <c r="E20" i="16" s="1"/>
  <c r="F16" i="16"/>
  <c r="F20" i="16" s="1"/>
  <c r="D18" i="16"/>
  <c r="D19" i="16" s="1"/>
  <c r="D20" i="16" s="1"/>
  <c r="F25" i="16"/>
  <c r="F26" i="16" s="1"/>
  <c r="F13" i="16"/>
  <c r="D13" i="16"/>
  <c r="D17" i="16" s="1"/>
  <c r="F38" i="13"/>
  <c r="F20" i="13"/>
  <c r="F17" i="13"/>
  <c r="F21" i="13" s="1"/>
  <c r="E20" i="13"/>
  <c r="E17" i="13"/>
  <c r="E21" i="13" s="1"/>
  <c r="E39" i="13"/>
  <c r="E40" i="13" s="1"/>
  <c r="C3" i="14" s="1"/>
  <c r="F39" i="13"/>
  <c r="F40" i="13" s="1"/>
  <c r="D3" i="14" s="1"/>
  <c r="D8" i="14"/>
  <c r="D39" i="13"/>
  <c r="D40" i="13" s="1"/>
  <c r="B3" i="14" s="1"/>
  <c r="L3" i="15"/>
  <c r="C4" i="15"/>
  <c r="C5" i="15" s="1"/>
  <c r="G3" i="15"/>
  <c r="D4" i="15"/>
  <c r="M3" i="15"/>
  <c r="F4" i="15"/>
  <c r="K4" i="15"/>
  <c r="E4" i="15"/>
  <c r="B5" i="15"/>
  <c r="D59" i="13"/>
  <c r="B15" i="14" s="1"/>
  <c r="D13" i="13"/>
  <c r="D17" i="13" s="1"/>
  <c r="D21" i="13" s="1"/>
  <c r="D47" i="13" s="1"/>
  <c r="D16" i="13"/>
  <c r="D20" i="13" s="1"/>
  <c r="D23" i="13" s="1"/>
  <c r="D24" i="13" s="1"/>
  <c r="D9" i="10"/>
  <c r="D10" i="10"/>
  <c r="F72" i="16" l="1"/>
  <c r="F73" i="16" s="1"/>
  <c r="F32" i="22"/>
  <c r="F33" i="22" s="1"/>
  <c r="E26" i="22"/>
  <c r="E32" i="22"/>
  <c r="E33" i="22" s="1"/>
  <c r="D32" i="22"/>
  <c r="D33" i="22" s="1"/>
  <c r="D26" i="22"/>
  <c r="F42" i="20"/>
  <c r="F66" i="20"/>
  <c r="F69" i="20" s="1"/>
  <c r="F71" i="20" s="1"/>
  <c r="F45" i="20"/>
  <c r="F46" i="20" s="1"/>
  <c r="D42" i="20"/>
  <c r="G85" i="20"/>
  <c r="G36" i="20"/>
  <c r="G41" i="20" s="1"/>
  <c r="G42" i="20" s="1"/>
  <c r="G37" i="20"/>
  <c r="D40" i="20"/>
  <c r="C40" i="20"/>
  <c r="C42" i="20"/>
  <c r="K20" i="20"/>
  <c r="H20" i="20"/>
  <c r="I17" i="20"/>
  <c r="I22" i="20" s="1"/>
  <c r="I23" i="20" s="1"/>
  <c r="M17" i="20"/>
  <c r="M22" i="20" s="1"/>
  <c r="M23" i="20" s="1"/>
  <c r="E17" i="20"/>
  <c r="E22" i="20" s="1"/>
  <c r="E23" i="20" s="1"/>
  <c r="H53" i="20"/>
  <c r="M27" i="20"/>
  <c r="M28" i="20" s="1"/>
  <c r="M21" i="20"/>
  <c r="K22" i="20"/>
  <c r="K23" i="20" s="1"/>
  <c r="J17" i="20"/>
  <c r="J22" i="20" s="1"/>
  <c r="G17" i="20"/>
  <c r="G22" i="20" s="1"/>
  <c r="G20" i="20"/>
  <c r="F17" i="20"/>
  <c r="F22" i="20" s="1"/>
  <c r="F20" i="20"/>
  <c r="F21" i="20" s="1"/>
  <c r="E21" i="20"/>
  <c r="E27" i="20"/>
  <c r="E28" i="20" s="1"/>
  <c r="F72" i="20"/>
  <c r="F74" i="20" s="1"/>
  <c r="K21" i="20"/>
  <c r="K27" i="20"/>
  <c r="K28" i="20" s="1"/>
  <c r="I53" i="20"/>
  <c r="I27" i="20"/>
  <c r="I28" i="20" s="1"/>
  <c r="I21" i="20"/>
  <c r="J27" i="20"/>
  <c r="J28" i="20" s="1"/>
  <c r="J21" i="20"/>
  <c r="N17" i="20"/>
  <c r="N22" i="20" s="1"/>
  <c r="N27" i="20"/>
  <c r="N28" i="20" s="1"/>
  <c r="N21" i="20"/>
  <c r="L17" i="20"/>
  <c r="L22" i="20" s="1"/>
  <c r="L20" i="20"/>
  <c r="K53" i="20"/>
  <c r="D17" i="20"/>
  <c r="D22" i="20" s="1"/>
  <c r="D23" i="20" s="1"/>
  <c r="F27" i="20"/>
  <c r="F28" i="20" s="1"/>
  <c r="C20" i="20"/>
  <c r="C17" i="20"/>
  <c r="C22" i="20" s="1"/>
  <c r="D27" i="20"/>
  <c r="D28" i="20" s="1"/>
  <c r="D21" i="20"/>
  <c r="C69" i="20"/>
  <c r="C72" i="20"/>
  <c r="D69" i="20"/>
  <c r="D72" i="20"/>
  <c r="F70" i="20"/>
  <c r="D22" i="16"/>
  <c r="D23" i="16"/>
  <c r="B8" i="17"/>
  <c r="C6" i="18"/>
  <c r="L5" i="18"/>
  <c r="F5" i="18"/>
  <c r="E5" i="18"/>
  <c r="B6" i="18"/>
  <c r="K5" i="18"/>
  <c r="M4" i="18"/>
  <c r="D5" i="18"/>
  <c r="G4" i="18"/>
  <c r="F27" i="16"/>
  <c r="F21" i="16"/>
  <c r="F17" i="16"/>
  <c r="F22" i="16" s="1"/>
  <c r="D8" i="17" s="1"/>
  <c r="E21" i="16"/>
  <c r="E27" i="16"/>
  <c r="F74" i="16"/>
  <c r="F71" i="16"/>
  <c r="F70" i="16"/>
  <c r="D21" i="16"/>
  <c r="D27" i="16"/>
  <c r="E69" i="16"/>
  <c r="C16" i="17" s="1"/>
  <c r="E72" i="16"/>
  <c r="E17" i="16"/>
  <c r="E22" i="16" s="1"/>
  <c r="C8" i="17" s="1"/>
  <c r="D10" i="14"/>
  <c r="L4" i="15"/>
  <c r="C8" i="14"/>
  <c r="M4" i="15"/>
  <c r="D5" i="15"/>
  <c r="G4" i="15"/>
  <c r="E5" i="15"/>
  <c r="B6" i="15"/>
  <c r="K5" i="15"/>
  <c r="C6" i="15"/>
  <c r="L5" i="15"/>
  <c r="F5" i="15"/>
  <c r="D49" i="13"/>
  <c r="D48" i="13"/>
  <c r="D57" i="13"/>
  <c r="D65" i="13"/>
  <c r="D62" i="13"/>
  <c r="B16" i="14" s="1"/>
  <c r="E7" i="10"/>
  <c r="E13" i="10" s="1"/>
  <c r="C4" i="12"/>
  <c r="F4" i="12" s="1"/>
  <c r="L3" i="12"/>
  <c r="F3" i="12"/>
  <c r="D3" i="12"/>
  <c r="G3" i="12" s="1"/>
  <c r="C3" i="12"/>
  <c r="B3" i="12"/>
  <c r="B4" i="12" s="1"/>
  <c r="M2" i="12"/>
  <c r="L2" i="12"/>
  <c r="K2" i="12"/>
  <c r="G2" i="12"/>
  <c r="F2" i="12"/>
  <c r="E2" i="12"/>
  <c r="D9" i="11"/>
  <c r="C9" i="11"/>
  <c r="B9" i="11"/>
  <c r="D2" i="11"/>
  <c r="D5" i="11" s="1"/>
  <c r="C2" i="11"/>
  <c r="C5" i="11" s="1"/>
  <c r="B2" i="11"/>
  <c r="B5" i="11" s="1"/>
  <c r="G71" i="10"/>
  <c r="G70" i="10"/>
  <c r="F37" i="10"/>
  <c r="F38" i="10" s="1"/>
  <c r="E37" i="10"/>
  <c r="E38" i="10" s="1"/>
  <c r="D37" i="10"/>
  <c r="D38" i="10" s="1"/>
  <c r="F36" i="10"/>
  <c r="E36" i="10"/>
  <c r="D36" i="10"/>
  <c r="F29" i="10"/>
  <c r="E29" i="10"/>
  <c r="D29" i="10"/>
  <c r="G27" i="10"/>
  <c r="F14" i="10"/>
  <c r="F18" i="10" s="1"/>
  <c r="F19" i="10" s="1"/>
  <c r="E14" i="10"/>
  <c r="E18" i="10" s="1"/>
  <c r="E19" i="10" s="1"/>
  <c r="D14" i="10"/>
  <c r="F10" i="10"/>
  <c r="E10" i="10"/>
  <c r="F9" i="10"/>
  <c r="E9" i="10"/>
  <c r="F25" i="10"/>
  <c r="F26" i="10" s="1"/>
  <c r="D13" i="10"/>
  <c r="E26" i="7"/>
  <c r="F26" i="7"/>
  <c r="D26" i="7"/>
  <c r="F23" i="7"/>
  <c r="L3" i="9"/>
  <c r="E3" i="9"/>
  <c r="D3" i="9"/>
  <c r="G3" i="9" s="1"/>
  <c r="C3" i="9"/>
  <c r="F3" i="9" s="1"/>
  <c r="B3" i="9"/>
  <c r="B4" i="9" s="1"/>
  <c r="M2" i="9"/>
  <c r="L2" i="9"/>
  <c r="K2" i="9"/>
  <c r="G2" i="9"/>
  <c r="F2" i="9"/>
  <c r="E2" i="9"/>
  <c r="D9" i="8"/>
  <c r="C9" i="8"/>
  <c r="B9" i="8"/>
  <c r="D2" i="8"/>
  <c r="D5" i="8" s="1"/>
  <c r="C2" i="8"/>
  <c r="C5" i="8" s="1"/>
  <c r="B2" i="8"/>
  <c r="B5" i="8" s="1"/>
  <c r="G67" i="7"/>
  <c r="G66" i="7"/>
  <c r="F34" i="7"/>
  <c r="F35" i="7" s="1"/>
  <c r="E34" i="7"/>
  <c r="E35" i="7" s="1"/>
  <c r="D34" i="7"/>
  <c r="D35" i="7" s="1"/>
  <c r="F33" i="7"/>
  <c r="E33" i="7"/>
  <c r="D33" i="7"/>
  <c r="G24" i="7"/>
  <c r="F14" i="7"/>
  <c r="E14" i="7"/>
  <c r="E18" i="7" s="1"/>
  <c r="E19" i="7" s="1"/>
  <c r="D14" i="7"/>
  <c r="D18" i="7" s="1"/>
  <c r="D19" i="7" s="1"/>
  <c r="F10" i="7"/>
  <c r="E10" i="7"/>
  <c r="D10" i="7"/>
  <c r="F9" i="7"/>
  <c r="E9" i="7"/>
  <c r="D9" i="7"/>
  <c r="F15" i="7"/>
  <c r="E7" i="7"/>
  <c r="E15" i="7" s="1"/>
  <c r="D7" i="7"/>
  <c r="D13" i="7" s="1"/>
  <c r="E31" i="4"/>
  <c r="F31" i="4"/>
  <c r="E32" i="4"/>
  <c r="F32" i="4"/>
  <c r="E10" i="4"/>
  <c r="F10" i="4"/>
  <c r="D10" i="4"/>
  <c r="D32" i="4"/>
  <c r="D9" i="4"/>
  <c r="D31" i="4"/>
  <c r="E9" i="4"/>
  <c r="F9" i="4"/>
  <c r="E12" i="4" l="1"/>
  <c r="E38" i="4" s="1"/>
  <c r="F12" i="4"/>
  <c r="F38" i="4" s="1"/>
  <c r="F33" i="4"/>
  <c r="E39" i="4"/>
  <c r="D12" i="4"/>
  <c r="D38" i="4" s="1"/>
  <c r="E23" i="7"/>
  <c r="D23" i="7"/>
  <c r="E25" i="10"/>
  <c r="E26" i="10" s="1"/>
  <c r="G40" i="20"/>
  <c r="G66" i="20"/>
  <c r="G72" i="20" s="1"/>
  <c r="G38" i="20"/>
  <c r="G45" i="20"/>
  <c r="G46" i="20" s="1"/>
  <c r="H37" i="20"/>
  <c r="H85" i="20"/>
  <c r="H36" i="20"/>
  <c r="H41" i="20" s="1"/>
  <c r="M53" i="20"/>
  <c r="H64" i="20"/>
  <c r="H54" i="20"/>
  <c r="H56" i="20"/>
  <c r="H27" i="20"/>
  <c r="H28" i="20" s="1"/>
  <c r="H21" i="20"/>
  <c r="M64" i="20"/>
  <c r="M56" i="20"/>
  <c r="M54" i="20"/>
  <c r="J23" i="20"/>
  <c r="J53" i="20"/>
  <c r="F73" i="20"/>
  <c r="G21" i="20"/>
  <c r="G27" i="20"/>
  <c r="G28" i="20" s="1"/>
  <c r="G23" i="20"/>
  <c r="G53" i="20"/>
  <c r="D53" i="20"/>
  <c r="K54" i="20"/>
  <c r="K64" i="20"/>
  <c r="K56" i="20"/>
  <c r="G69" i="20"/>
  <c r="N23" i="20"/>
  <c r="N53" i="20"/>
  <c r="I56" i="20"/>
  <c r="I54" i="20"/>
  <c r="I64" i="20"/>
  <c r="L21" i="20"/>
  <c r="L27" i="20"/>
  <c r="L28" i="20" s="1"/>
  <c r="L23" i="20"/>
  <c r="L53" i="20"/>
  <c r="C53" i="20"/>
  <c r="C23" i="20"/>
  <c r="D54" i="20"/>
  <c r="D55" i="20"/>
  <c r="D64" i="20"/>
  <c r="D56" i="20"/>
  <c r="C21" i="20"/>
  <c r="C27" i="20"/>
  <c r="C28" i="20" s="1"/>
  <c r="D71" i="20"/>
  <c r="D70" i="20"/>
  <c r="F23" i="20"/>
  <c r="F53" i="20"/>
  <c r="C71" i="20"/>
  <c r="C70" i="20"/>
  <c r="D74" i="20"/>
  <c r="D73" i="20"/>
  <c r="C73" i="20"/>
  <c r="C74" i="20"/>
  <c r="D28" i="16"/>
  <c r="B10" i="17"/>
  <c r="E28" i="16"/>
  <c r="C10" i="17"/>
  <c r="F28" i="16"/>
  <c r="D10" i="17"/>
  <c r="F6" i="18"/>
  <c r="C7" i="18"/>
  <c r="L6" i="18"/>
  <c r="D6" i="18"/>
  <c r="M5" i="18"/>
  <c r="G5" i="18"/>
  <c r="B7" i="18"/>
  <c r="K6" i="18"/>
  <c r="E6" i="18"/>
  <c r="E73" i="16"/>
  <c r="E74" i="16"/>
  <c r="F23" i="16"/>
  <c r="F53" i="16"/>
  <c r="D11" i="17" s="1"/>
  <c r="E71" i="16"/>
  <c r="E70" i="16"/>
  <c r="E53" i="16"/>
  <c r="C11" i="17" s="1"/>
  <c r="E23" i="16"/>
  <c r="C10" i="14"/>
  <c r="G5" i="15"/>
  <c r="D6" i="15"/>
  <c r="M5" i="15"/>
  <c r="C7" i="15"/>
  <c r="F6" i="15"/>
  <c r="L6" i="15"/>
  <c r="B7" i="15"/>
  <c r="E6" i="15"/>
  <c r="K6" i="15"/>
  <c r="D63" i="13"/>
  <c r="D64" i="13"/>
  <c r="D67" i="13"/>
  <c r="D66" i="13"/>
  <c r="D51" i="13"/>
  <c r="B13" i="14" s="1"/>
  <c r="D52" i="13"/>
  <c r="K3" i="12"/>
  <c r="E12" i="10"/>
  <c r="E44" i="10" s="1"/>
  <c r="E45" i="10" s="1"/>
  <c r="D15" i="10"/>
  <c r="D16" i="10" s="1"/>
  <c r="D17" i="10" s="1"/>
  <c r="D12" i="10"/>
  <c r="D44" i="10" s="1"/>
  <c r="D45" i="10" s="1"/>
  <c r="B5" i="12"/>
  <c r="E4" i="12"/>
  <c r="K4" i="12"/>
  <c r="E3" i="12"/>
  <c r="D4" i="12"/>
  <c r="C5" i="12"/>
  <c r="M3" i="12"/>
  <c r="L4" i="12"/>
  <c r="F12" i="10"/>
  <c r="E15" i="10"/>
  <c r="E16" i="10" s="1"/>
  <c r="E20" i="10" s="1"/>
  <c r="D18" i="10"/>
  <c r="D19" i="10" s="1"/>
  <c r="D25" i="10"/>
  <c r="D26" i="10" s="1"/>
  <c r="F13" i="10"/>
  <c r="F15" i="10"/>
  <c r="F16" i="10" s="1"/>
  <c r="F20" i="10" s="1"/>
  <c r="D12" i="7"/>
  <c r="C4" i="9"/>
  <c r="F4" i="9" s="1"/>
  <c r="K3" i="9"/>
  <c r="F16" i="7"/>
  <c r="F12" i="7"/>
  <c r="F40" i="7" s="1"/>
  <c r="F41" i="7" s="1"/>
  <c r="B5" i="9"/>
  <c r="E4" i="9"/>
  <c r="K4" i="9"/>
  <c r="D4" i="9"/>
  <c r="C5" i="9"/>
  <c r="M3" i="9"/>
  <c r="L4" i="9"/>
  <c r="E12" i="7"/>
  <c r="E40" i="7" s="1"/>
  <c r="E41" i="7" s="1"/>
  <c r="E42" i="7" s="1"/>
  <c r="C3" i="8" s="1"/>
  <c r="F13" i="7"/>
  <c r="D15" i="7"/>
  <c r="D16" i="7" s="1"/>
  <c r="D20" i="7" s="1"/>
  <c r="D24" i="7" s="1"/>
  <c r="D25" i="7" s="1"/>
  <c r="E16" i="7"/>
  <c r="E20" i="7" s="1"/>
  <c r="E24" i="7" s="1"/>
  <c r="E13" i="7"/>
  <c r="F18" i="7"/>
  <c r="F19" i="7" s="1"/>
  <c r="F42" i="7"/>
  <c r="D3" i="8" s="1"/>
  <c r="E33" i="4"/>
  <c r="C2" i="6"/>
  <c r="C5" i="6" s="1"/>
  <c r="D2" i="6"/>
  <c r="D5" i="6" s="1"/>
  <c r="B2" i="6"/>
  <c r="B5" i="6" s="1"/>
  <c r="B9" i="6"/>
  <c r="C9" i="6"/>
  <c r="D9" i="6"/>
  <c r="E14" i="4"/>
  <c r="E18" i="4" s="1"/>
  <c r="E19" i="4" s="1"/>
  <c r="F14" i="4"/>
  <c r="F18" i="4" s="1"/>
  <c r="F19" i="4" s="1"/>
  <c r="E7" i="4"/>
  <c r="F7" i="4"/>
  <c r="D3" i="5"/>
  <c r="D4" i="5" s="1"/>
  <c r="M4" i="5" s="1"/>
  <c r="C3" i="5"/>
  <c r="L3" i="5" s="1"/>
  <c r="B3" i="5"/>
  <c r="B4" i="5" s="1"/>
  <c r="K4" i="5" s="1"/>
  <c r="M2" i="5"/>
  <c r="L2" i="5"/>
  <c r="K2" i="5"/>
  <c r="G2" i="5"/>
  <c r="F2" i="5"/>
  <c r="E2" i="5"/>
  <c r="G64" i="4"/>
  <c r="G63" i="4"/>
  <c r="G23" i="4"/>
  <c r="D14" i="4"/>
  <c r="D18" i="4" s="1"/>
  <c r="D19" i="4" s="1"/>
  <c r="D7" i="4"/>
  <c r="G53" i="2"/>
  <c r="G52" i="2"/>
  <c r="E2" i="3"/>
  <c r="F2" i="3"/>
  <c r="G2" i="3"/>
  <c r="K2" i="3"/>
  <c r="L2" i="3"/>
  <c r="M2" i="3"/>
  <c r="B3" i="3"/>
  <c r="C3" i="3"/>
  <c r="F3" i="3" s="1"/>
  <c r="D3" i="3"/>
  <c r="E3" i="3"/>
  <c r="G3" i="3"/>
  <c r="K3" i="3"/>
  <c r="M3" i="3"/>
  <c r="B4" i="3"/>
  <c r="D4" i="3"/>
  <c r="E4" i="3"/>
  <c r="G4" i="3"/>
  <c r="K4" i="3"/>
  <c r="M4" i="3"/>
  <c r="B5" i="3"/>
  <c r="D5" i="3"/>
  <c r="E5" i="3"/>
  <c r="G5" i="3"/>
  <c r="K5" i="3"/>
  <c r="M5" i="3"/>
  <c r="N5" i="3"/>
  <c r="B6" i="3"/>
  <c r="D6" i="3"/>
  <c r="E6" i="3"/>
  <c r="G6" i="3"/>
  <c r="K6" i="3"/>
  <c r="M6" i="3"/>
  <c r="B7" i="3"/>
  <c r="D7" i="3"/>
  <c r="E7" i="3"/>
  <c r="G7" i="3"/>
  <c r="K7" i="3"/>
  <c r="M7" i="3"/>
  <c r="B8" i="3"/>
  <c r="D8" i="3"/>
  <c r="E8" i="3"/>
  <c r="G8" i="3"/>
  <c r="K8" i="3"/>
  <c r="M8" i="3"/>
  <c r="B9" i="3"/>
  <c r="D9" i="3"/>
  <c r="E9" i="3"/>
  <c r="G9" i="3"/>
  <c r="K9" i="3"/>
  <c r="M9" i="3"/>
  <c r="B10" i="3"/>
  <c r="D10" i="3"/>
  <c r="E10" i="3"/>
  <c r="G10" i="3"/>
  <c r="K10" i="3"/>
  <c r="M10" i="3"/>
  <c r="B11" i="3"/>
  <c r="E11" i="3" s="1"/>
  <c r="D11" i="3"/>
  <c r="G11" i="3" s="1"/>
  <c r="K11" i="3"/>
  <c r="M11" i="3"/>
  <c r="B12" i="3"/>
  <c r="D12" i="3"/>
  <c r="E12" i="3"/>
  <c r="G12" i="3"/>
  <c r="K12" i="3"/>
  <c r="M12" i="3"/>
  <c r="B13" i="3"/>
  <c r="E13" i="3" s="1"/>
  <c r="D13" i="3"/>
  <c r="G13" i="3" s="1"/>
  <c r="K13" i="3"/>
  <c r="M13" i="3"/>
  <c r="D5" i="2"/>
  <c r="D7" i="2" s="1"/>
  <c r="E5" i="2"/>
  <c r="F5" i="2"/>
  <c r="F7" i="2" s="1"/>
  <c r="E7" i="2"/>
  <c r="D8" i="2"/>
  <c r="E8" i="2"/>
  <c r="F8" i="2"/>
  <c r="E9" i="2"/>
  <c r="E10" i="2" s="1"/>
  <c r="D12" i="2"/>
  <c r="D14" i="2" s="1"/>
  <c r="G18" i="2"/>
  <c r="D34" i="2"/>
  <c r="E34" i="2"/>
  <c r="F34" i="2"/>
  <c r="D35" i="2"/>
  <c r="E35" i="2"/>
  <c r="E36" i="2" s="1"/>
  <c r="F35" i="2"/>
  <c r="D36" i="2"/>
  <c r="F36" i="2"/>
  <c r="E4" i="5" l="1"/>
  <c r="E3" i="5"/>
  <c r="E40" i="4"/>
  <c r="D15" i="4"/>
  <c r="D16" i="4" s="1"/>
  <c r="D20" i="4" s="1"/>
  <c r="F13" i="4"/>
  <c r="E13" i="4"/>
  <c r="D39" i="4"/>
  <c r="F39" i="4"/>
  <c r="F44" i="10"/>
  <c r="D40" i="7"/>
  <c r="D41" i="7" s="1"/>
  <c r="D42" i="7" s="1"/>
  <c r="B3" i="8" s="1"/>
  <c r="H38" i="20"/>
  <c r="H45" i="20"/>
  <c r="H66" i="20"/>
  <c r="H42" i="20"/>
  <c r="H40" i="20"/>
  <c r="I85" i="20"/>
  <c r="I36" i="20"/>
  <c r="I41" i="20" s="1"/>
  <c r="I37" i="20"/>
  <c r="H59" i="20"/>
  <c r="M59" i="20"/>
  <c r="J54" i="20"/>
  <c r="J56" i="20"/>
  <c r="J64" i="20"/>
  <c r="G54" i="20"/>
  <c r="G64" i="20"/>
  <c r="G55" i="20"/>
  <c r="G56" i="20"/>
  <c r="L54" i="20"/>
  <c r="L56" i="20"/>
  <c r="L64" i="20"/>
  <c r="N56" i="20"/>
  <c r="N54" i="20"/>
  <c r="N64" i="20"/>
  <c r="G73" i="20"/>
  <c r="G74" i="20"/>
  <c r="K59" i="20"/>
  <c r="I59" i="20"/>
  <c r="G70" i="20"/>
  <c r="G71" i="20"/>
  <c r="D58" i="20"/>
  <c r="D59" i="20"/>
  <c r="F54" i="20"/>
  <c r="F55" i="20"/>
  <c r="F64" i="20"/>
  <c r="F56" i="20"/>
  <c r="C64" i="20"/>
  <c r="C56" i="20"/>
  <c r="C54" i="20"/>
  <c r="C55" i="20"/>
  <c r="G6" i="18"/>
  <c r="M6" i="18"/>
  <c r="D7" i="18"/>
  <c r="E7" i="18"/>
  <c r="B8" i="18"/>
  <c r="K7" i="18"/>
  <c r="F7" i="18"/>
  <c r="L7" i="18"/>
  <c r="C8" i="18"/>
  <c r="E64" i="16"/>
  <c r="E56" i="16"/>
  <c r="C6" i="17" s="1"/>
  <c r="E54" i="16"/>
  <c r="E55" i="16"/>
  <c r="F54" i="16"/>
  <c r="F55" i="16"/>
  <c r="F64" i="16"/>
  <c r="F56" i="16"/>
  <c r="D6" i="17" s="1"/>
  <c r="F17" i="7"/>
  <c r="F20" i="7"/>
  <c r="F24" i="7" s="1"/>
  <c r="F25" i="7" s="1"/>
  <c r="G6" i="15"/>
  <c r="D7" i="15"/>
  <c r="M6" i="15"/>
  <c r="B8" i="15"/>
  <c r="E7" i="15"/>
  <c r="K7" i="15"/>
  <c r="F7" i="15"/>
  <c r="C8" i="15"/>
  <c r="L7" i="15"/>
  <c r="D46" i="10"/>
  <c r="B3" i="11" s="1"/>
  <c r="F21" i="10"/>
  <c r="E27" i="10"/>
  <c r="C10" i="11" s="1"/>
  <c r="E21" i="10"/>
  <c r="D22" i="10"/>
  <c r="C6" i="12"/>
  <c r="L5" i="12"/>
  <c r="F5" i="12"/>
  <c r="M4" i="12"/>
  <c r="D5" i="12"/>
  <c r="G4" i="12"/>
  <c r="E5" i="12"/>
  <c r="B6" i="12"/>
  <c r="K5" i="12"/>
  <c r="F17" i="10"/>
  <c r="F22" i="10" s="1"/>
  <c r="F23" i="10" s="1"/>
  <c r="D20" i="10"/>
  <c r="E17" i="10"/>
  <c r="E22" i="10" s="1"/>
  <c r="E23" i="10" s="1"/>
  <c r="F21" i="7"/>
  <c r="E25" i="7"/>
  <c r="C10" i="8"/>
  <c r="E17" i="7"/>
  <c r="E21" i="7" s="1"/>
  <c r="B10" i="8"/>
  <c r="C6" i="9"/>
  <c r="L5" i="9"/>
  <c r="F5" i="9"/>
  <c r="M4" i="9"/>
  <c r="D5" i="9"/>
  <c r="G4" i="9"/>
  <c r="E5" i="9"/>
  <c r="B6" i="9"/>
  <c r="K5" i="9"/>
  <c r="D17" i="7"/>
  <c r="D21" i="7" s="1"/>
  <c r="D33" i="4"/>
  <c r="M3" i="5"/>
  <c r="D5" i="5"/>
  <c r="G5" i="5" s="1"/>
  <c r="F15" i="4"/>
  <c r="F16" i="4" s="1"/>
  <c r="E15" i="4"/>
  <c r="E16" i="4" s="1"/>
  <c r="G3" i="5"/>
  <c r="D6" i="5"/>
  <c r="F3" i="5"/>
  <c r="K3" i="5"/>
  <c r="C4" i="5"/>
  <c r="G4" i="5"/>
  <c r="B5" i="5"/>
  <c r="M5" i="5"/>
  <c r="D13" i="4"/>
  <c r="L3" i="3"/>
  <c r="C4" i="3"/>
  <c r="D14" i="3"/>
  <c r="B14" i="3"/>
  <c r="D11" i="2"/>
  <c r="D16" i="2" s="1"/>
  <c r="E11" i="2"/>
  <c r="E12" i="2"/>
  <c r="E14" i="2" s="1"/>
  <c r="E15" i="2" s="1"/>
  <c r="E18" i="2" s="1"/>
  <c r="F9" i="2"/>
  <c r="D9" i="2"/>
  <c r="D10" i="2" s="1"/>
  <c r="D15" i="2" s="1"/>
  <c r="D23" i="10" l="1"/>
  <c r="D53" i="10"/>
  <c r="D56" i="10" s="1"/>
  <c r="D58" i="10" s="1"/>
  <c r="F45" i="10"/>
  <c r="F46" i="10" s="1"/>
  <c r="D3" i="11" s="1"/>
  <c r="D23" i="4"/>
  <c r="F40" i="4"/>
  <c r="D10" i="11"/>
  <c r="F17" i="4"/>
  <c r="F20" i="4"/>
  <c r="E20" i="4"/>
  <c r="E28" i="10"/>
  <c r="H69" i="20"/>
  <c r="H72" i="20"/>
  <c r="J85" i="20"/>
  <c r="J36" i="20"/>
  <c r="J41" i="20" s="1"/>
  <c r="J37" i="20"/>
  <c r="H46" i="20"/>
  <c r="H58" i="20" s="1"/>
  <c r="H55" i="20"/>
  <c r="I38" i="20"/>
  <c r="I45" i="20"/>
  <c r="I42" i="20"/>
  <c r="I40" i="20"/>
  <c r="I66" i="20"/>
  <c r="J59" i="20"/>
  <c r="G58" i="20"/>
  <c r="G59" i="20"/>
  <c r="N59" i="20"/>
  <c r="L59" i="20"/>
  <c r="C58" i="20"/>
  <c r="C59" i="20"/>
  <c r="F59" i="20"/>
  <c r="F58" i="20"/>
  <c r="L8" i="18"/>
  <c r="C9" i="18"/>
  <c r="F8" i="18"/>
  <c r="E8" i="18"/>
  <c r="K8" i="18"/>
  <c r="B9" i="18"/>
  <c r="M7" i="18"/>
  <c r="D8" i="18"/>
  <c r="G7" i="18"/>
  <c r="F58" i="16"/>
  <c r="D13" i="17" s="1"/>
  <c r="F59" i="16"/>
  <c r="E58" i="16"/>
  <c r="C13" i="17" s="1"/>
  <c r="E59" i="16"/>
  <c r="D10" i="8"/>
  <c r="M7" i="15"/>
  <c r="D8" i="15"/>
  <c r="G7" i="15"/>
  <c r="L8" i="15"/>
  <c r="C9" i="15"/>
  <c r="F8" i="15"/>
  <c r="E8" i="15"/>
  <c r="B9" i="15"/>
  <c r="K8" i="15"/>
  <c r="D27" i="10"/>
  <c r="B10" i="11" s="1"/>
  <c r="D21" i="10"/>
  <c r="D8" i="11"/>
  <c r="C8" i="11"/>
  <c r="B8" i="11"/>
  <c r="M5" i="12"/>
  <c r="G5" i="12"/>
  <c r="D6" i="12"/>
  <c r="F6" i="12"/>
  <c r="C7" i="12"/>
  <c r="L6" i="12"/>
  <c r="B7" i="12"/>
  <c r="K6" i="12"/>
  <c r="E6" i="12"/>
  <c r="D8" i="8"/>
  <c r="C8" i="8"/>
  <c r="B8" i="8"/>
  <c r="M5" i="9"/>
  <c r="D6" i="9"/>
  <c r="G5" i="9"/>
  <c r="C7" i="9"/>
  <c r="F6" i="9"/>
  <c r="L6" i="9"/>
  <c r="B7" i="9"/>
  <c r="E6" i="9"/>
  <c r="K6" i="9"/>
  <c r="E17" i="4"/>
  <c r="D17" i="4"/>
  <c r="D21" i="4" s="1"/>
  <c r="E5" i="5"/>
  <c r="B6" i="5"/>
  <c r="K5" i="5"/>
  <c r="C5" i="5"/>
  <c r="F4" i="5"/>
  <c r="L4" i="5"/>
  <c r="D7" i="5"/>
  <c r="G6" i="5"/>
  <c r="M6" i="5"/>
  <c r="L4" i="3"/>
  <c r="F4" i="3"/>
  <c r="C5" i="3"/>
  <c r="K14" i="3"/>
  <c r="E14" i="3"/>
  <c r="B15" i="3"/>
  <c r="M14" i="3"/>
  <c r="G14" i="3"/>
  <c r="D15" i="3"/>
  <c r="F10" i="2"/>
  <c r="F12" i="2"/>
  <c r="F14" i="2" s="1"/>
  <c r="D18" i="2"/>
  <c r="E16" i="2"/>
  <c r="D24" i="4" l="1"/>
  <c r="B10" i="6"/>
  <c r="F23" i="4"/>
  <c r="E23" i="4"/>
  <c r="D28" i="10"/>
  <c r="F21" i="4"/>
  <c r="E21" i="4"/>
  <c r="J66" i="20"/>
  <c r="J42" i="20"/>
  <c r="J40" i="20"/>
  <c r="I46" i="20"/>
  <c r="I58" i="20" s="1"/>
  <c r="I55" i="20"/>
  <c r="K85" i="20"/>
  <c r="K36" i="20"/>
  <c r="K41" i="20" s="1"/>
  <c r="K37" i="20"/>
  <c r="H74" i="20"/>
  <c r="H73" i="20"/>
  <c r="I69" i="20"/>
  <c r="I72" i="20"/>
  <c r="J38" i="20"/>
  <c r="J45" i="20"/>
  <c r="H71" i="20"/>
  <c r="H70" i="20"/>
  <c r="K9" i="18"/>
  <c r="B10" i="18"/>
  <c r="E9" i="18"/>
  <c r="C10" i="18"/>
  <c r="F9" i="18"/>
  <c r="L9" i="18"/>
  <c r="D9" i="18"/>
  <c r="M8" i="18"/>
  <c r="G8" i="18"/>
  <c r="D9" i="15"/>
  <c r="M8" i="15"/>
  <c r="G8" i="15"/>
  <c r="C10" i="15"/>
  <c r="L9" i="15"/>
  <c r="F9" i="15"/>
  <c r="K9" i="15"/>
  <c r="B10" i="15"/>
  <c r="E9" i="15"/>
  <c r="F7" i="12"/>
  <c r="L7" i="12"/>
  <c r="C8" i="12"/>
  <c r="E7" i="12"/>
  <c r="K7" i="12"/>
  <c r="B8" i="12"/>
  <c r="G6" i="12"/>
  <c r="M6" i="12"/>
  <c r="D7" i="12"/>
  <c r="G6" i="9"/>
  <c r="M6" i="9"/>
  <c r="D7" i="9"/>
  <c r="B8" i="9"/>
  <c r="E7" i="9"/>
  <c r="K7" i="9"/>
  <c r="F7" i="9"/>
  <c r="L7" i="9"/>
  <c r="C8" i="9"/>
  <c r="B8" i="6"/>
  <c r="M7" i="5"/>
  <c r="D8" i="5"/>
  <c r="G7" i="5"/>
  <c r="C6" i="5"/>
  <c r="L5" i="5"/>
  <c r="F5" i="5"/>
  <c r="B7" i="5"/>
  <c r="E6" i="5"/>
  <c r="K6" i="5"/>
  <c r="F5" i="3"/>
  <c r="L5" i="3"/>
  <c r="C6" i="3"/>
  <c r="G15" i="3"/>
  <c r="D16" i="3"/>
  <c r="M15" i="3"/>
  <c r="E15" i="3"/>
  <c r="B16" i="3"/>
  <c r="K15" i="3"/>
  <c r="F15" i="2"/>
  <c r="F18" i="2" s="1"/>
  <c r="F11" i="2"/>
  <c r="F16" i="2" s="1"/>
  <c r="E24" i="4" l="1"/>
  <c r="D8" i="6"/>
  <c r="F24" i="4"/>
  <c r="D10" i="6"/>
  <c r="C8" i="6"/>
  <c r="C10" i="6"/>
  <c r="J46" i="20"/>
  <c r="J58" i="20" s="1"/>
  <c r="J55" i="20"/>
  <c r="L85" i="20"/>
  <c r="L36" i="20"/>
  <c r="L41" i="20" s="1"/>
  <c r="L37" i="20"/>
  <c r="I73" i="20"/>
  <c r="I74" i="20"/>
  <c r="K45" i="20"/>
  <c r="K38" i="20"/>
  <c r="I71" i="20"/>
  <c r="I70" i="20"/>
  <c r="K40" i="20"/>
  <c r="K66" i="20"/>
  <c r="K42" i="20"/>
  <c r="J69" i="20"/>
  <c r="J72" i="20"/>
  <c r="F10" i="18"/>
  <c r="C11" i="18"/>
  <c r="L10" i="18"/>
  <c r="D10" i="18"/>
  <c r="G9" i="18"/>
  <c r="M9" i="18"/>
  <c r="B11" i="18"/>
  <c r="K10" i="18"/>
  <c r="E10" i="18"/>
  <c r="L10" i="15"/>
  <c r="F10" i="15"/>
  <c r="C11" i="15"/>
  <c r="B11" i="15"/>
  <c r="K10" i="15"/>
  <c r="E10" i="15"/>
  <c r="M9" i="15"/>
  <c r="G9" i="15"/>
  <c r="D10" i="15"/>
  <c r="L8" i="12"/>
  <c r="C9" i="12"/>
  <c r="F8" i="12"/>
  <c r="E8" i="12"/>
  <c r="K8" i="12"/>
  <c r="B9" i="12"/>
  <c r="M7" i="12"/>
  <c r="G7" i="12"/>
  <c r="D8" i="12"/>
  <c r="E8" i="9"/>
  <c r="K8" i="9"/>
  <c r="B9" i="9"/>
  <c r="M7" i="9"/>
  <c r="D8" i="9"/>
  <c r="G7" i="9"/>
  <c r="L8" i="9"/>
  <c r="C9" i="9"/>
  <c r="F8" i="9"/>
  <c r="K7" i="5"/>
  <c r="E7" i="5"/>
  <c r="B8" i="5"/>
  <c r="L6" i="5"/>
  <c r="F6" i="5"/>
  <c r="C7" i="5"/>
  <c r="D9" i="5"/>
  <c r="G8" i="5"/>
  <c r="M8" i="5"/>
  <c r="F6" i="3"/>
  <c r="L6" i="3"/>
  <c r="C7" i="3"/>
  <c r="K16" i="3"/>
  <c r="E16" i="3"/>
  <c r="B17" i="3"/>
  <c r="M16" i="3"/>
  <c r="G16" i="3"/>
  <c r="D17" i="3"/>
  <c r="K69" i="20" l="1"/>
  <c r="K72" i="20"/>
  <c r="M85" i="20"/>
  <c r="M36" i="20"/>
  <c r="M41" i="20" s="1"/>
  <c r="M37" i="20"/>
  <c r="J73" i="20"/>
  <c r="J74" i="20"/>
  <c r="K46" i="20"/>
  <c r="K58" i="20" s="1"/>
  <c r="K55" i="20"/>
  <c r="L38" i="20"/>
  <c r="L45" i="20"/>
  <c r="J70" i="20"/>
  <c r="J71" i="20"/>
  <c r="L40" i="20"/>
  <c r="L66" i="20"/>
  <c r="L42" i="20"/>
  <c r="G10" i="18"/>
  <c r="M10" i="18"/>
  <c r="D11" i="18"/>
  <c r="E11" i="18"/>
  <c r="B12" i="18"/>
  <c r="K11" i="18"/>
  <c r="F11" i="18"/>
  <c r="L11" i="18"/>
  <c r="C12" i="18"/>
  <c r="K11" i="15"/>
  <c r="E11" i="15"/>
  <c r="B12" i="15"/>
  <c r="F11" i="15"/>
  <c r="L11" i="15"/>
  <c r="C12" i="15"/>
  <c r="G10" i="15"/>
  <c r="M10" i="15"/>
  <c r="D11" i="15"/>
  <c r="D9" i="12"/>
  <c r="G8" i="12"/>
  <c r="M8" i="12"/>
  <c r="K9" i="12"/>
  <c r="E9" i="12"/>
  <c r="B10" i="12"/>
  <c r="C10" i="12"/>
  <c r="L9" i="12"/>
  <c r="F9" i="12"/>
  <c r="K9" i="9"/>
  <c r="E9" i="9"/>
  <c r="B10" i="9"/>
  <c r="D9" i="9"/>
  <c r="M8" i="9"/>
  <c r="G8" i="9"/>
  <c r="C10" i="9"/>
  <c r="L9" i="9"/>
  <c r="F9" i="9"/>
  <c r="D40" i="4"/>
  <c r="C8" i="5"/>
  <c r="F7" i="5"/>
  <c r="L7" i="5"/>
  <c r="B9" i="5"/>
  <c r="E8" i="5"/>
  <c r="K8" i="5"/>
  <c r="M9" i="5"/>
  <c r="G9" i="5"/>
  <c r="D10" i="5"/>
  <c r="F7" i="3"/>
  <c r="C8" i="3"/>
  <c r="L7" i="3"/>
  <c r="G17" i="3"/>
  <c r="D18" i="3"/>
  <c r="M17" i="3"/>
  <c r="E17" i="3"/>
  <c r="B18" i="3"/>
  <c r="K17" i="3"/>
  <c r="B3" i="6" l="1"/>
  <c r="N85" i="20"/>
  <c r="N37" i="20"/>
  <c r="N36" i="20"/>
  <c r="N41" i="20" s="1"/>
  <c r="M38" i="20"/>
  <c r="M45" i="20"/>
  <c r="M40" i="20"/>
  <c r="M66" i="20"/>
  <c r="M42" i="20"/>
  <c r="K73" i="20"/>
  <c r="K74" i="20"/>
  <c r="L72" i="20"/>
  <c r="L69" i="20"/>
  <c r="L46" i="20"/>
  <c r="L58" i="20" s="1"/>
  <c r="L55" i="20"/>
  <c r="K71" i="20"/>
  <c r="K70" i="20"/>
  <c r="M11" i="18"/>
  <c r="D12" i="18"/>
  <c r="G11" i="18"/>
  <c r="L12" i="18"/>
  <c r="F12" i="18"/>
  <c r="C13" i="18"/>
  <c r="E12" i="18"/>
  <c r="K12" i="18"/>
  <c r="B13" i="18"/>
  <c r="L12" i="15"/>
  <c r="F12" i="15"/>
  <c r="C13" i="15"/>
  <c r="E12" i="15"/>
  <c r="K12" i="15"/>
  <c r="B13" i="15"/>
  <c r="M11" i="15"/>
  <c r="G11" i="15"/>
  <c r="D12" i="15"/>
  <c r="C11" i="12"/>
  <c r="F10" i="12"/>
  <c r="L10" i="12"/>
  <c r="B11" i="12"/>
  <c r="E10" i="12"/>
  <c r="K10" i="12"/>
  <c r="D10" i="12"/>
  <c r="G9" i="12"/>
  <c r="M9" i="12"/>
  <c r="G9" i="9"/>
  <c r="M9" i="9"/>
  <c r="D10" i="9"/>
  <c r="F10" i="9"/>
  <c r="C11" i="9"/>
  <c r="L10" i="9"/>
  <c r="B11" i="9"/>
  <c r="K10" i="9"/>
  <c r="E10" i="9"/>
  <c r="K9" i="5"/>
  <c r="B10" i="5"/>
  <c r="E9" i="5"/>
  <c r="D11" i="5"/>
  <c r="G10" i="5"/>
  <c r="M10" i="5"/>
  <c r="L8" i="5"/>
  <c r="C9" i="5"/>
  <c r="F8" i="5"/>
  <c r="L8" i="3"/>
  <c r="F8" i="3"/>
  <c r="C9" i="3"/>
  <c r="K18" i="3"/>
  <c r="E18" i="3"/>
  <c r="B19" i="3"/>
  <c r="M18" i="3"/>
  <c r="G18" i="3"/>
  <c r="D19" i="3"/>
  <c r="N66" i="20" l="1"/>
  <c r="N42" i="20"/>
  <c r="N40" i="20"/>
  <c r="M72" i="20"/>
  <c r="M69" i="20"/>
  <c r="N38" i="20"/>
  <c r="N45" i="20"/>
  <c r="L73" i="20"/>
  <c r="L74" i="20"/>
  <c r="L71" i="20"/>
  <c r="L70" i="20"/>
  <c r="M46" i="20"/>
  <c r="M58" i="20" s="1"/>
  <c r="M55" i="20"/>
  <c r="C14" i="18"/>
  <c r="L13" i="18"/>
  <c r="F13" i="18"/>
  <c r="D13" i="18"/>
  <c r="G12" i="18"/>
  <c r="M12" i="18"/>
  <c r="K13" i="18"/>
  <c r="B14" i="18"/>
  <c r="E13" i="18"/>
  <c r="K13" i="15"/>
  <c r="E13" i="15"/>
  <c r="B14" i="15"/>
  <c r="C14" i="15"/>
  <c r="F13" i="15"/>
  <c r="L13" i="15"/>
  <c r="D13" i="15"/>
  <c r="G12" i="15"/>
  <c r="M12" i="15"/>
  <c r="E11" i="12"/>
  <c r="B12" i="12"/>
  <c r="K11" i="12"/>
  <c r="G10" i="12"/>
  <c r="M10" i="12"/>
  <c r="D11" i="12"/>
  <c r="F11" i="12"/>
  <c r="L11" i="12"/>
  <c r="C12" i="12"/>
  <c r="E11" i="9"/>
  <c r="B12" i="9"/>
  <c r="K11" i="9"/>
  <c r="G10" i="9"/>
  <c r="M10" i="9"/>
  <c r="D11" i="9"/>
  <c r="F11" i="9"/>
  <c r="L11" i="9"/>
  <c r="C12" i="9"/>
  <c r="C10" i="5"/>
  <c r="F9" i="5"/>
  <c r="L9" i="5"/>
  <c r="M11" i="5"/>
  <c r="D12" i="5"/>
  <c r="G11" i="5"/>
  <c r="B11" i="5"/>
  <c r="E10" i="5"/>
  <c r="K10" i="5"/>
  <c r="F9" i="3"/>
  <c r="C10" i="3"/>
  <c r="L9" i="3"/>
  <c r="E19" i="3"/>
  <c r="B20" i="3"/>
  <c r="K19" i="3"/>
  <c r="G19" i="3"/>
  <c r="D20" i="3"/>
  <c r="M19" i="3"/>
  <c r="M73" i="20" l="1"/>
  <c r="M74" i="20"/>
  <c r="N46" i="20"/>
  <c r="N58" i="20" s="1"/>
  <c r="N55" i="20"/>
  <c r="M70" i="20"/>
  <c r="M71" i="20"/>
  <c r="N69" i="20"/>
  <c r="N72" i="20"/>
  <c r="G13" i="18"/>
  <c r="D14" i="18"/>
  <c r="M13" i="18"/>
  <c r="B15" i="18"/>
  <c r="K14" i="18"/>
  <c r="E14" i="18"/>
  <c r="F14" i="18"/>
  <c r="L14" i="18"/>
  <c r="C15" i="18"/>
  <c r="C15" i="15"/>
  <c r="F14" i="15"/>
  <c r="L14" i="15"/>
  <c r="B15" i="15"/>
  <c r="E14" i="15"/>
  <c r="K14" i="15"/>
  <c r="D14" i="15"/>
  <c r="G13" i="15"/>
  <c r="M13" i="15"/>
  <c r="M11" i="12"/>
  <c r="D12" i="12"/>
  <c r="G11" i="12"/>
  <c r="E12" i="12"/>
  <c r="K12" i="12"/>
  <c r="B13" i="12"/>
  <c r="L12" i="12"/>
  <c r="F12" i="12"/>
  <c r="C13" i="12"/>
  <c r="M11" i="9"/>
  <c r="G11" i="9"/>
  <c r="D12" i="9"/>
  <c r="E12" i="9"/>
  <c r="K12" i="9"/>
  <c r="B13" i="9"/>
  <c r="L12" i="9"/>
  <c r="C13" i="9"/>
  <c r="F12" i="9"/>
  <c r="K11" i="5"/>
  <c r="E11" i="5"/>
  <c r="B12" i="5"/>
  <c r="D13" i="5"/>
  <c r="G12" i="5"/>
  <c r="M12" i="5"/>
  <c r="L10" i="5"/>
  <c r="F10" i="5"/>
  <c r="C11" i="5"/>
  <c r="F10" i="3"/>
  <c r="C11" i="3"/>
  <c r="L10" i="3"/>
  <c r="K20" i="3"/>
  <c r="E20" i="3"/>
  <c r="B21" i="3"/>
  <c r="M20" i="3"/>
  <c r="G20" i="3"/>
  <c r="D21" i="3"/>
  <c r="N71" i="20" l="1"/>
  <c r="N70" i="20"/>
  <c r="N74" i="20"/>
  <c r="N73" i="20"/>
  <c r="B16" i="18"/>
  <c r="E15" i="18"/>
  <c r="K15" i="18"/>
  <c r="G14" i="18"/>
  <c r="M14" i="18"/>
  <c r="D15" i="18"/>
  <c r="F15" i="18"/>
  <c r="L15" i="18"/>
  <c r="C16" i="18"/>
  <c r="B16" i="15"/>
  <c r="E15" i="15"/>
  <c r="K15" i="15"/>
  <c r="G14" i="15"/>
  <c r="D15" i="15"/>
  <c r="M14" i="15"/>
  <c r="F15" i="15"/>
  <c r="C16" i="15"/>
  <c r="L15" i="15"/>
  <c r="K13" i="12"/>
  <c r="E13" i="12"/>
  <c r="B14" i="12"/>
  <c r="D13" i="12"/>
  <c r="G12" i="12"/>
  <c r="M12" i="12"/>
  <c r="C14" i="12"/>
  <c r="L13" i="12"/>
  <c r="F13" i="12"/>
  <c r="C14" i="9"/>
  <c r="L13" i="9"/>
  <c r="F13" i="9"/>
  <c r="D13" i="9"/>
  <c r="M12" i="9"/>
  <c r="G12" i="9"/>
  <c r="K13" i="9"/>
  <c r="B14" i="9"/>
  <c r="E13" i="9"/>
  <c r="M13" i="5"/>
  <c r="G13" i="5"/>
  <c r="D14" i="5"/>
  <c r="C12" i="5"/>
  <c r="F11" i="5"/>
  <c r="L11" i="5"/>
  <c r="B13" i="5"/>
  <c r="E12" i="5"/>
  <c r="K12" i="5"/>
  <c r="F11" i="3"/>
  <c r="L11" i="3"/>
  <c r="C12" i="3"/>
  <c r="G21" i="3"/>
  <c r="G23" i="3" s="1"/>
  <c r="F23" i="2" s="1"/>
  <c r="M21" i="3"/>
  <c r="M23" i="3" s="1"/>
  <c r="F46" i="2" s="1"/>
  <c r="E21" i="3"/>
  <c r="E23" i="3" s="1"/>
  <c r="D23" i="2" s="1"/>
  <c r="K21" i="3"/>
  <c r="K23" i="3" s="1"/>
  <c r="D46" i="2" s="1"/>
  <c r="M15" i="18" l="1"/>
  <c r="D16" i="18"/>
  <c r="G15" i="18"/>
  <c r="L16" i="18"/>
  <c r="C17" i="18"/>
  <c r="F16" i="18"/>
  <c r="E16" i="18"/>
  <c r="K16" i="18"/>
  <c r="B17" i="18"/>
  <c r="L16" i="15"/>
  <c r="C17" i="15"/>
  <c r="F16" i="15"/>
  <c r="M15" i="15"/>
  <c r="D16" i="15"/>
  <c r="G15" i="15"/>
  <c r="E16" i="15"/>
  <c r="B17" i="15"/>
  <c r="K16" i="15"/>
  <c r="D14" i="12"/>
  <c r="G13" i="12"/>
  <c r="M13" i="12"/>
  <c r="F14" i="12"/>
  <c r="C15" i="12"/>
  <c r="L14" i="12"/>
  <c r="B15" i="12"/>
  <c r="E14" i="12"/>
  <c r="K14" i="12"/>
  <c r="B15" i="9"/>
  <c r="E14" i="9"/>
  <c r="K14" i="9"/>
  <c r="G13" i="9"/>
  <c r="D14" i="9"/>
  <c r="M13" i="9"/>
  <c r="C15" i="9"/>
  <c r="F14" i="9"/>
  <c r="L14" i="9"/>
  <c r="L12" i="5"/>
  <c r="C13" i="5"/>
  <c r="F12" i="5"/>
  <c r="K13" i="5"/>
  <c r="B14" i="5"/>
  <c r="E13" i="5"/>
  <c r="D15" i="5"/>
  <c r="G14" i="5"/>
  <c r="M14" i="5"/>
  <c r="F12" i="3"/>
  <c r="L12" i="3"/>
  <c r="C13" i="3"/>
  <c r="D39" i="2"/>
  <c r="D38" i="2" s="1"/>
  <c r="D25" i="2"/>
  <c r="F39" i="2"/>
  <c r="F38" i="2" s="1"/>
  <c r="F25" i="2"/>
  <c r="D17" i="18" l="1"/>
  <c r="M16" i="18"/>
  <c r="G16" i="18"/>
  <c r="K17" i="18"/>
  <c r="E17" i="18"/>
  <c r="B18" i="18"/>
  <c r="C18" i="18"/>
  <c r="F17" i="18"/>
  <c r="L17" i="18"/>
  <c r="K17" i="15"/>
  <c r="B18" i="15"/>
  <c r="E17" i="15"/>
  <c r="C18" i="15"/>
  <c r="L17" i="15"/>
  <c r="F17" i="15"/>
  <c r="D17" i="15"/>
  <c r="M16" i="15"/>
  <c r="G16" i="15"/>
  <c r="E15" i="12"/>
  <c r="K15" i="12"/>
  <c r="B16" i="12"/>
  <c r="F15" i="12"/>
  <c r="L15" i="12"/>
  <c r="C16" i="12"/>
  <c r="G14" i="12"/>
  <c r="M14" i="12"/>
  <c r="D15" i="12"/>
  <c r="F15" i="9"/>
  <c r="L15" i="9"/>
  <c r="C16" i="9"/>
  <c r="G14" i="9"/>
  <c r="M14" i="9"/>
  <c r="D15" i="9"/>
  <c r="E15" i="9"/>
  <c r="B16" i="9"/>
  <c r="K15" i="9"/>
  <c r="C14" i="5"/>
  <c r="F13" i="5"/>
  <c r="L13" i="5"/>
  <c r="M15" i="5"/>
  <c r="D16" i="5"/>
  <c r="G15" i="5"/>
  <c r="B15" i="5"/>
  <c r="E14" i="5"/>
  <c r="K14" i="5"/>
  <c r="F13" i="3"/>
  <c r="L13" i="3"/>
  <c r="C14" i="3"/>
  <c r="F26" i="2"/>
  <c r="F41" i="2"/>
  <c r="F42" i="2" s="1"/>
  <c r="F47" i="2"/>
  <c r="D26" i="2"/>
  <c r="D41" i="2"/>
  <c r="D42" i="2" s="1"/>
  <c r="D47" i="2"/>
  <c r="C19" i="18" l="1"/>
  <c r="F18" i="18"/>
  <c r="L18" i="18"/>
  <c r="B19" i="18"/>
  <c r="K18" i="18"/>
  <c r="E18" i="18"/>
  <c r="G17" i="18"/>
  <c r="D18" i="18"/>
  <c r="M17" i="18"/>
  <c r="L18" i="15"/>
  <c r="F18" i="15"/>
  <c r="C19" i="15"/>
  <c r="M17" i="15"/>
  <c r="G17" i="15"/>
  <c r="D18" i="15"/>
  <c r="B19" i="15"/>
  <c r="K18" i="15"/>
  <c r="E18" i="15"/>
  <c r="L16" i="12"/>
  <c r="F16" i="12"/>
  <c r="C17" i="12"/>
  <c r="M15" i="12"/>
  <c r="G15" i="12"/>
  <c r="D16" i="12"/>
  <c r="E16" i="12"/>
  <c r="K16" i="12"/>
  <c r="B17" i="12"/>
  <c r="L16" i="9"/>
  <c r="C17" i="9"/>
  <c r="F16" i="9"/>
  <c r="M15" i="9"/>
  <c r="G15" i="9"/>
  <c r="D16" i="9"/>
  <c r="E16" i="9"/>
  <c r="K16" i="9"/>
  <c r="B17" i="9"/>
  <c r="K15" i="5"/>
  <c r="E15" i="5"/>
  <c r="B16" i="5"/>
  <c r="D17" i="5"/>
  <c r="G16" i="5"/>
  <c r="M16" i="5"/>
  <c r="L14" i="5"/>
  <c r="F14" i="5"/>
  <c r="C15" i="5"/>
  <c r="F14" i="3"/>
  <c r="L14" i="3"/>
  <c r="C15" i="3"/>
  <c r="D48" i="2"/>
  <c r="D27" i="2"/>
  <c r="F48" i="2"/>
  <c r="F27" i="2"/>
  <c r="E19" i="18" l="1"/>
  <c r="B20" i="18"/>
  <c r="K19" i="18"/>
  <c r="G18" i="18"/>
  <c r="M18" i="18"/>
  <c r="D19" i="18"/>
  <c r="F19" i="18"/>
  <c r="L19" i="18"/>
  <c r="C20" i="18"/>
  <c r="K19" i="15"/>
  <c r="E19" i="15"/>
  <c r="B20" i="15"/>
  <c r="F19" i="15"/>
  <c r="L19" i="15"/>
  <c r="C20" i="15"/>
  <c r="G18" i="15"/>
  <c r="M18" i="15"/>
  <c r="D19" i="15"/>
  <c r="C18" i="12"/>
  <c r="L17" i="12"/>
  <c r="F17" i="12"/>
  <c r="D17" i="12"/>
  <c r="M16" i="12"/>
  <c r="G16" i="12"/>
  <c r="K17" i="12"/>
  <c r="B18" i="12"/>
  <c r="E17" i="12"/>
  <c r="D17" i="9"/>
  <c r="M16" i="9"/>
  <c r="G16" i="9"/>
  <c r="C18" i="9"/>
  <c r="F17" i="9"/>
  <c r="L17" i="9"/>
  <c r="K17" i="9"/>
  <c r="B18" i="9"/>
  <c r="E17" i="9"/>
  <c r="M17" i="5"/>
  <c r="G17" i="5"/>
  <c r="D18" i="5"/>
  <c r="C16" i="5"/>
  <c r="F15" i="5"/>
  <c r="L15" i="5"/>
  <c r="B17" i="5"/>
  <c r="E16" i="5"/>
  <c r="K16" i="5"/>
  <c r="L15" i="3"/>
  <c r="C16" i="3"/>
  <c r="F15" i="3"/>
  <c r="F51" i="2"/>
  <c r="F54" i="2"/>
  <c r="D54" i="2"/>
  <c r="D51" i="2"/>
  <c r="M19" i="18" l="1"/>
  <c r="D20" i="18"/>
  <c r="G19" i="18"/>
  <c r="E20" i="18"/>
  <c r="K20" i="18"/>
  <c r="B21" i="18"/>
  <c r="L20" i="18"/>
  <c r="C21" i="18"/>
  <c r="F20" i="18"/>
  <c r="E20" i="15"/>
  <c r="B21" i="15"/>
  <c r="K20" i="15"/>
  <c r="L20" i="15"/>
  <c r="F20" i="15"/>
  <c r="C21" i="15"/>
  <c r="M19" i="15"/>
  <c r="G19" i="15"/>
  <c r="D20" i="15"/>
  <c r="C19" i="12"/>
  <c r="F18" i="12"/>
  <c r="L18" i="12"/>
  <c r="B19" i="12"/>
  <c r="K18" i="12"/>
  <c r="E18" i="12"/>
  <c r="G17" i="12"/>
  <c r="M17" i="12"/>
  <c r="D18" i="12"/>
  <c r="B19" i="9"/>
  <c r="K18" i="9"/>
  <c r="E18" i="9"/>
  <c r="F18" i="9"/>
  <c r="C19" i="9"/>
  <c r="L18" i="9"/>
  <c r="G17" i="9"/>
  <c r="D18" i="9"/>
  <c r="M17" i="9"/>
  <c r="L16" i="5"/>
  <c r="C17" i="5"/>
  <c r="F16" i="5"/>
  <c r="K17" i="5"/>
  <c r="B18" i="5"/>
  <c r="E17" i="5"/>
  <c r="D19" i="5"/>
  <c r="G18" i="5"/>
  <c r="M18" i="5"/>
  <c r="F16" i="3"/>
  <c r="L16" i="3"/>
  <c r="C17" i="3"/>
  <c r="D55" i="2"/>
  <c r="D56" i="2"/>
  <c r="F55" i="2"/>
  <c r="F56" i="2"/>
  <c r="D52" i="2"/>
  <c r="D53" i="2"/>
  <c r="F53" i="2"/>
  <c r="F52" i="2"/>
  <c r="L21" i="18" l="1"/>
  <c r="L23" i="18" s="1"/>
  <c r="F21" i="18"/>
  <c r="F23" i="18" s="1"/>
  <c r="K21" i="18"/>
  <c r="K23" i="18" s="1"/>
  <c r="D63" i="16" s="1"/>
  <c r="E21" i="18"/>
  <c r="E23" i="18" s="1"/>
  <c r="D51" i="16" s="1"/>
  <c r="D21" i="18"/>
  <c r="M20" i="18"/>
  <c r="G20" i="18"/>
  <c r="F21" i="15"/>
  <c r="F23" i="15" s="1"/>
  <c r="E45" i="13" s="1"/>
  <c r="L21" i="15"/>
  <c r="L23" i="15" s="1"/>
  <c r="E56" i="13" s="1"/>
  <c r="K21" i="15"/>
  <c r="K23" i="15" s="1"/>
  <c r="E21" i="15"/>
  <c r="E23" i="15" s="1"/>
  <c r="D21" i="15"/>
  <c r="G20" i="15"/>
  <c r="M20" i="15"/>
  <c r="G18" i="12"/>
  <c r="M18" i="12"/>
  <c r="D19" i="12"/>
  <c r="E19" i="12"/>
  <c r="B20" i="12"/>
  <c r="K19" i="12"/>
  <c r="F19" i="12"/>
  <c r="L19" i="12"/>
  <c r="C20" i="12"/>
  <c r="G18" i="9"/>
  <c r="M18" i="9"/>
  <c r="D19" i="9"/>
  <c r="F19" i="9"/>
  <c r="L19" i="9"/>
  <c r="C20" i="9"/>
  <c r="E19" i="9"/>
  <c r="K19" i="9"/>
  <c r="B20" i="9"/>
  <c r="C18" i="5"/>
  <c r="F17" i="5"/>
  <c r="L17" i="5"/>
  <c r="M19" i="5"/>
  <c r="D20" i="5"/>
  <c r="G19" i="5"/>
  <c r="B19" i="5"/>
  <c r="E18" i="5"/>
  <c r="K18" i="5"/>
  <c r="L17" i="3"/>
  <c r="C18" i="3"/>
  <c r="F17" i="3"/>
  <c r="D41" i="16" l="1"/>
  <c r="D53" i="16"/>
  <c r="D66" i="16"/>
  <c r="G21" i="18"/>
  <c r="G23" i="18" s="1"/>
  <c r="M21" i="18"/>
  <c r="M23" i="18" s="1"/>
  <c r="E36" i="13"/>
  <c r="E35" i="13" s="1"/>
  <c r="E47" i="13"/>
  <c r="M21" i="15"/>
  <c r="M23" i="15" s="1"/>
  <c r="F56" i="13" s="1"/>
  <c r="G21" i="15"/>
  <c r="G23" i="15" s="1"/>
  <c r="F45" i="13" s="1"/>
  <c r="L20" i="12"/>
  <c r="F20" i="12"/>
  <c r="C21" i="12"/>
  <c r="E20" i="12"/>
  <c r="K20" i="12"/>
  <c r="B21" i="12"/>
  <c r="M19" i="12"/>
  <c r="D20" i="12"/>
  <c r="G19" i="12"/>
  <c r="E20" i="9"/>
  <c r="K20" i="9"/>
  <c r="B21" i="9"/>
  <c r="L20" i="9"/>
  <c r="C21" i="9"/>
  <c r="F20" i="9"/>
  <c r="M19" i="9"/>
  <c r="G19" i="9"/>
  <c r="D20" i="9"/>
  <c r="K19" i="5"/>
  <c r="E19" i="5"/>
  <c r="B20" i="5"/>
  <c r="D21" i="5"/>
  <c r="G20" i="5"/>
  <c r="M20" i="5"/>
  <c r="L18" i="5"/>
  <c r="F18" i="5"/>
  <c r="C19" i="5"/>
  <c r="C19" i="3"/>
  <c r="F18" i="3"/>
  <c r="L18" i="3"/>
  <c r="B11" i="17" l="1"/>
  <c r="D54" i="16"/>
  <c r="D64" i="16"/>
  <c r="D56" i="16"/>
  <c r="D55" i="16"/>
  <c r="B15" i="17"/>
  <c r="D72" i="16"/>
  <c r="D69" i="16"/>
  <c r="D42" i="16"/>
  <c r="D40" i="16"/>
  <c r="F47" i="13"/>
  <c r="F36" i="13"/>
  <c r="F35" i="13" s="1"/>
  <c r="C11" i="14"/>
  <c r="E57" i="13"/>
  <c r="E48" i="13"/>
  <c r="E49" i="13"/>
  <c r="E59" i="13"/>
  <c r="K21" i="12"/>
  <c r="K23" i="12" s="1"/>
  <c r="D63" i="10" s="1"/>
  <c r="E21" i="12"/>
  <c r="E23" i="12" s="1"/>
  <c r="D51" i="10" s="1"/>
  <c r="D21" i="12"/>
  <c r="M20" i="12"/>
  <c r="G20" i="12"/>
  <c r="L21" i="12"/>
  <c r="L23" i="12" s="1"/>
  <c r="E63" i="10" s="1"/>
  <c r="F21" i="12"/>
  <c r="F23" i="12" s="1"/>
  <c r="E51" i="10" s="1"/>
  <c r="K21" i="9"/>
  <c r="K23" i="9" s="1"/>
  <c r="D59" i="7" s="1"/>
  <c r="E21" i="9"/>
  <c r="E23" i="9" s="1"/>
  <c r="D47" i="7" s="1"/>
  <c r="D21" i="9"/>
  <c r="M20" i="9"/>
  <c r="G20" i="9"/>
  <c r="L21" i="9"/>
  <c r="L23" i="9" s="1"/>
  <c r="E59" i="7" s="1"/>
  <c r="F21" i="9"/>
  <c r="F23" i="9" s="1"/>
  <c r="E47" i="7" s="1"/>
  <c r="M21" i="5"/>
  <c r="M23" i="5" s="1"/>
  <c r="F56" i="4" s="1"/>
  <c r="G21" i="5"/>
  <c r="G23" i="5" s="1"/>
  <c r="F45" i="4" s="1"/>
  <c r="C20" i="5"/>
  <c r="F19" i="5"/>
  <c r="L19" i="5"/>
  <c r="B21" i="5"/>
  <c r="E20" i="5"/>
  <c r="K20" i="5"/>
  <c r="F19" i="3"/>
  <c r="L19" i="3"/>
  <c r="C20" i="3"/>
  <c r="E41" i="10" l="1"/>
  <c r="E53" i="10"/>
  <c r="E56" i="10" s="1"/>
  <c r="B16" i="17"/>
  <c r="D70" i="16"/>
  <c r="D71" i="16"/>
  <c r="B6" i="17"/>
  <c r="D59" i="16"/>
  <c r="D58" i="16"/>
  <c r="B13" i="17" s="1"/>
  <c r="D74" i="16"/>
  <c r="D73" i="16"/>
  <c r="F59" i="13"/>
  <c r="F65" i="13" s="1"/>
  <c r="D15" i="14"/>
  <c r="D11" i="14"/>
  <c r="F48" i="13"/>
  <c r="F57" i="13"/>
  <c r="F49" i="13"/>
  <c r="C6" i="14"/>
  <c r="E51" i="13"/>
  <c r="C13" i="14" s="1"/>
  <c r="E52" i="13"/>
  <c r="C15" i="14"/>
  <c r="E65" i="13"/>
  <c r="E62" i="13"/>
  <c r="D41" i="10"/>
  <c r="G21" i="12"/>
  <c r="G23" i="12" s="1"/>
  <c r="F51" i="10" s="1"/>
  <c r="M21" i="12"/>
  <c r="M23" i="12" s="1"/>
  <c r="F63" i="10" s="1"/>
  <c r="E38" i="7"/>
  <c r="E37" i="7" s="1"/>
  <c r="E49" i="7"/>
  <c r="E50" i="7" s="1"/>
  <c r="D38" i="7"/>
  <c r="D37" i="7" s="1"/>
  <c r="D49" i="7"/>
  <c r="D50" i="7" s="1"/>
  <c r="G21" i="9"/>
  <c r="G23" i="9" s="1"/>
  <c r="F47" i="7" s="1"/>
  <c r="M21" i="9"/>
  <c r="M23" i="9" s="1"/>
  <c r="F59" i="7" s="1"/>
  <c r="F47" i="4"/>
  <c r="F36" i="4"/>
  <c r="K21" i="5"/>
  <c r="K23" i="5" s="1"/>
  <c r="D56" i="4" s="1"/>
  <c r="E21" i="5"/>
  <c r="E23" i="5" s="1"/>
  <c r="D45" i="4" s="1"/>
  <c r="L20" i="5"/>
  <c r="C21" i="5"/>
  <c r="F20" i="5"/>
  <c r="C21" i="3"/>
  <c r="F20" i="3"/>
  <c r="L20" i="3"/>
  <c r="F35" i="4" l="1"/>
  <c r="F49" i="4"/>
  <c r="D6" i="6" s="1"/>
  <c r="D40" i="10"/>
  <c r="D42" i="10"/>
  <c r="F41" i="10"/>
  <c r="F66" i="10" s="1"/>
  <c r="F53" i="10"/>
  <c r="F56" i="10" s="1"/>
  <c r="C11" i="11"/>
  <c r="E64" i="10"/>
  <c r="E54" i="10"/>
  <c r="E42" i="10"/>
  <c r="E40" i="10"/>
  <c r="E46" i="10" s="1"/>
  <c r="C3" i="11" s="1"/>
  <c r="D36" i="4"/>
  <c r="D47" i="4"/>
  <c r="F62" i="13"/>
  <c r="D16" i="14" s="1"/>
  <c r="D6" i="14"/>
  <c r="F52" i="13"/>
  <c r="F51" i="13"/>
  <c r="D13" i="14" s="1"/>
  <c r="F66" i="13"/>
  <c r="F67" i="13"/>
  <c r="F64" i="13"/>
  <c r="C16" i="14"/>
  <c r="E64" i="13"/>
  <c r="E63" i="13"/>
  <c r="E66" i="13"/>
  <c r="E67" i="13"/>
  <c r="B15" i="11"/>
  <c r="D55" i="10"/>
  <c r="B11" i="11"/>
  <c r="D64" i="10"/>
  <c r="D54" i="10"/>
  <c r="F38" i="7"/>
  <c r="F37" i="7" s="1"/>
  <c r="F49" i="7"/>
  <c r="F50" i="7" s="1"/>
  <c r="E62" i="7"/>
  <c r="C11" i="8"/>
  <c r="E51" i="7"/>
  <c r="E52" i="7"/>
  <c r="E60" i="7"/>
  <c r="D62" i="7"/>
  <c r="B11" i="8"/>
  <c r="D52" i="7"/>
  <c r="D60" i="7"/>
  <c r="D51" i="7"/>
  <c r="F59" i="4"/>
  <c r="D11" i="6"/>
  <c r="F57" i="4"/>
  <c r="F21" i="5"/>
  <c r="F23" i="5" s="1"/>
  <c r="E45" i="4" s="1"/>
  <c r="L21" i="5"/>
  <c r="L23" i="5" s="1"/>
  <c r="E56" i="4" s="1"/>
  <c r="F21" i="3"/>
  <c r="F23" i="3" s="1"/>
  <c r="E23" i="2" s="1"/>
  <c r="L21" i="3"/>
  <c r="L23" i="3" s="1"/>
  <c r="E46" i="2" s="1"/>
  <c r="F69" i="10" l="1"/>
  <c r="F72" i="10"/>
  <c r="F52" i="4"/>
  <c r="E55" i="10"/>
  <c r="C15" i="11"/>
  <c r="D11" i="11"/>
  <c r="F55" i="10"/>
  <c r="F54" i="10"/>
  <c r="F64" i="10"/>
  <c r="C6" i="11"/>
  <c r="E59" i="10"/>
  <c r="E58" i="10"/>
  <c r="C13" i="11" s="1"/>
  <c r="F40" i="10"/>
  <c r="F42" i="10"/>
  <c r="B11" i="6"/>
  <c r="D57" i="4"/>
  <c r="D49" i="4"/>
  <c r="D48" i="4"/>
  <c r="D35" i="4"/>
  <c r="D59" i="4"/>
  <c r="F63" i="13"/>
  <c r="D74" i="10"/>
  <c r="D73" i="10"/>
  <c r="B16" i="11"/>
  <c r="D70" i="10"/>
  <c r="D71" i="10"/>
  <c r="B6" i="11"/>
  <c r="D59" i="10"/>
  <c r="B13" i="11"/>
  <c r="F62" i="7"/>
  <c r="D15" i="8" s="1"/>
  <c r="D11" i="8"/>
  <c r="F51" i="7"/>
  <c r="F52" i="7"/>
  <c r="F60" i="7"/>
  <c r="E54" i="7"/>
  <c r="C13" i="8" s="1"/>
  <c r="C6" i="8"/>
  <c r="E55" i="7"/>
  <c r="C15" i="8"/>
  <c r="E65" i="7"/>
  <c r="E68" i="7"/>
  <c r="B15" i="8"/>
  <c r="D68" i="7"/>
  <c r="D65" i="7"/>
  <c r="B6" i="8"/>
  <c r="D55" i="7"/>
  <c r="D54" i="7"/>
  <c r="B13" i="8" s="1"/>
  <c r="E47" i="4"/>
  <c r="E36" i="4"/>
  <c r="F51" i="4"/>
  <c r="F48" i="4"/>
  <c r="E25" i="2"/>
  <c r="E39" i="2"/>
  <c r="E38" i="2" s="1"/>
  <c r="D13" i="6" l="1"/>
  <c r="E35" i="4"/>
  <c r="C11" i="6"/>
  <c r="D6" i="11"/>
  <c r="F58" i="10"/>
  <c r="D13" i="11" s="1"/>
  <c r="F59" i="10"/>
  <c r="C16" i="11"/>
  <c r="E70" i="10"/>
  <c r="E71" i="10"/>
  <c r="D15" i="11"/>
  <c r="E73" i="10"/>
  <c r="E74" i="10"/>
  <c r="D52" i="4"/>
  <c r="D51" i="4"/>
  <c r="B6" i="6"/>
  <c r="D65" i="4"/>
  <c r="D62" i="4"/>
  <c r="B15" i="6"/>
  <c r="F65" i="7"/>
  <c r="F66" i="7" s="1"/>
  <c r="F68" i="7"/>
  <c r="F69" i="7" s="1"/>
  <c r="D6" i="8"/>
  <c r="F54" i="7"/>
  <c r="D13" i="8" s="1"/>
  <c r="F55" i="7"/>
  <c r="E69" i="7"/>
  <c r="E70" i="7"/>
  <c r="C16" i="8"/>
  <c r="E67" i="7"/>
  <c r="E66" i="7"/>
  <c r="D69" i="7"/>
  <c r="D70" i="7"/>
  <c r="B16" i="8"/>
  <c r="D66" i="7"/>
  <c r="D67" i="7"/>
  <c r="E49" i="4"/>
  <c r="E59" i="4"/>
  <c r="D3" i="6"/>
  <c r="D15" i="6"/>
  <c r="F62" i="4"/>
  <c r="F65" i="4"/>
  <c r="E57" i="4"/>
  <c r="E41" i="2"/>
  <c r="E42" i="2" s="1"/>
  <c r="E26" i="2"/>
  <c r="E47" i="2"/>
  <c r="E48" i="2" s="1"/>
  <c r="F67" i="4" l="1"/>
  <c r="E52" i="4"/>
  <c r="B13" i="6"/>
  <c r="D16" i="6"/>
  <c r="D16" i="11"/>
  <c r="F71" i="10"/>
  <c r="F70" i="10"/>
  <c r="F74" i="10"/>
  <c r="F73" i="10"/>
  <c r="D66" i="4"/>
  <c r="D67" i="4"/>
  <c r="B16" i="6"/>
  <c r="D63" i="4"/>
  <c r="D64" i="4"/>
  <c r="D16" i="8"/>
  <c r="F67" i="7"/>
  <c r="F70" i="7"/>
  <c r="C6" i="6"/>
  <c r="F64" i="4"/>
  <c r="C3" i="6"/>
  <c r="E48" i="4"/>
  <c r="E62" i="4"/>
  <c r="F63" i="4"/>
  <c r="F66" i="4"/>
  <c r="E27" i="2"/>
  <c r="E54" i="2"/>
  <c r="E51" i="2"/>
  <c r="C16" i="6" l="1"/>
  <c r="E51" i="4"/>
  <c r="C15" i="6"/>
  <c r="E65" i="4"/>
  <c r="E55" i="2"/>
  <c r="E56" i="2"/>
  <c r="E53" i="2"/>
  <c r="E52" i="2"/>
  <c r="C13" i="6" l="1"/>
  <c r="E63" i="4"/>
  <c r="E64" i="4"/>
  <c r="E67" i="4"/>
  <c r="E66" i="4"/>
</calcChain>
</file>

<file path=xl/sharedStrings.xml><?xml version="1.0" encoding="utf-8"?>
<sst xmlns="http://schemas.openxmlformats.org/spreadsheetml/2006/main" count="1485" uniqueCount="202">
  <si>
    <t>m</t>
  </si>
  <si>
    <t>Diameter</t>
  </si>
  <si>
    <t>Square Sides</t>
  </si>
  <si>
    <t>m2</t>
  </si>
  <si>
    <t>Panel Size Using ISS panel size / power ratio</t>
  </si>
  <si>
    <t>Equivalent size of the circular panel</t>
  </si>
  <si>
    <t>Dimensions of square panel</t>
  </si>
  <si>
    <t>https://www.nasa.gov/mission_pages/station/structure/elements/solar_arrays-about.html</t>
  </si>
  <si>
    <t>Theroretical Minimum Panel Size</t>
  </si>
  <si>
    <t>%</t>
  </si>
  <si>
    <t>Panel Efficiency</t>
  </si>
  <si>
    <t>https://www.solarenspace.com/solaren-space-solar/ssp-overview/</t>
  </si>
  <si>
    <t>W/m2</t>
  </si>
  <si>
    <t>Solar energy in orbit</t>
  </si>
  <si>
    <t>Calculated by diving the total energy required by the print time
For additional comparison nuclear power station range up to 8 MW</t>
  </si>
  <si>
    <t>kW</t>
  </si>
  <si>
    <t>Continuous Power</t>
  </si>
  <si>
    <t>GJ</t>
  </si>
  <si>
    <t>Total Energy</t>
  </si>
  <si>
    <t>GJ/ton</t>
  </si>
  <si>
    <t>Melt Energy</t>
  </si>
  <si>
    <t>Power Requirements</t>
  </si>
  <si>
    <t>years</t>
  </si>
  <si>
    <t>Print Time</t>
  </si>
  <si>
    <t>days</t>
  </si>
  <si>
    <t>Tme Printing vs Time Not Printing NOT INCLUDING wall design desity</t>
  </si>
  <si>
    <t>Print Efficiency</t>
  </si>
  <si>
    <t>kg/s</t>
  </si>
  <si>
    <t>Flow Rate All Nozzles</t>
  </si>
  <si>
    <t>Flow Rate per Nozzles</t>
  </si>
  <si>
    <t>Number of nozzles for the main construction material - separate print head are assumed for other materials</t>
  </si>
  <si>
    <t>Number of Print Heads</t>
  </si>
  <si>
    <t>G-force outer edge (RCF)</t>
  </si>
  <si>
    <t>Calculated from the print head speed at the outer diameter</t>
  </si>
  <si>
    <t>RPM</t>
  </si>
  <si>
    <t>Rotational Speed</t>
  </si>
  <si>
    <t>cm3/s</t>
  </si>
  <si>
    <t>Nozzle volumetric flow rate</t>
  </si>
  <si>
    <t>mm</t>
  </si>
  <si>
    <t>Print Depth</t>
  </si>
  <si>
    <t>Current home 3D print speed. Aluminium extrusion in range of 5 - 50 m/min (0.08 - 0.8 m/s)</t>
  </si>
  <si>
    <t>Nozzle Diameter</t>
  </si>
  <si>
    <t>How fast the printer head moves relative to the surface being printed</t>
  </si>
  <si>
    <t>m/s</t>
  </si>
  <si>
    <t>Print Speed</t>
  </si>
  <si>
    <t>Manufacturing Process</t>
  </si>
  <si>
    <t>Lifts frequency</t>
  </si>
  <si>
    <t>64 Ton lift capacity</t>
  </si>
  <si>
    <t xml:space="preserve">Falcon Heavy Lifts </t>
  </si>
  <si>
    <t>https://www.nasa.gov/feature/facts-and-figures</t>
  </si>
  <si>
    <t>Tonnes</t>
  </si>
  <si>
    <t>Total Mass</t>
  </si>
  <si>
    <t>Wall Design Density</t>
  </si>
  <si>
    <t>From Table</t>
  </si>
  <si>
    <t>kg/m3</t>
  </si>
  <si>
    <t>Material Density</t>
  </si>
  <si>
    <t>Main Structure Material</t>
  </si>
  <si>
    <t>Materials</t>
  </si>
  <si>
    <t>m3</t>
  </si>
  <si>
    <t>Average volume per person</t>
  </si>
  <si>
    <t>People on Board</t>
  </si>
  <si>
    <t>Total Print Volume</t>
  </si>
  <si>
    <t xml:space="preserve">Internal Volume </t>
  </si>
  <si>
    <t xml:space="preserve">Additional Print Volume </t>
  </si>
  <si>
    <t>For further inner floors / walls as a percentage of the central floor volume</t>
  </si>
  <si>
    <t>Volume associated with a ring shaped floor at the widest point wih a thickness equal to the outer wall</t>
  </si>
  <si>
    <t>Central floor Volume</t>
  </si>
  <si>
    <t>Torus Shell Volume</t>
  </si>
  <si>
    <t>Layer thickness</t>
  </si>
  <si>
    <t>Inside Torus Volume</t>
  </si>
  <si>
    <t>Inside Torus Inner Diameter</t>
  </si>
  <si>
    <t>Inside Torus Outer Diameter</t>
  </si>
  <si>
    <t>V1</t>
  </si>
  <si>
    <t>Outer Torus Volume</t>
  </si>
  <si>
    <t>l1</t>
  </si>
  <si>
    <t>Wall Thickness</t>
  </si>
  <si>
    <t>D2</t>
  </si>
  <si>
    <t>Inner Diameter</t>
  </si>
  <si>
    <t>Outside diamter of the section - for the purposes of simplicity assumed to be circular</t>
  </si>
  <si>
    <t>d1</t>
  </si>
  <si>
    <t>Section Outer Diameter</t>
  </si>
  <si>
    <t>D1</t>
  </si>
  <si>
    <t>Outer Diameter</t>
  </si>
  <si>
    <t>Notes / Source</t>
  </si>
  <si>
    <t>ISS</t>
  </si>
  <si>
    <t>Version 3</t>
  </si>
  <si>
    <t>Version 2</t>
  </si>
  <si>
    <t>Version 1</t>
  </si>
  <si>
    <t>Units</t>
  </si>
  <si>
    <t>Dimensions</t>
  </si>
  <si>
    <t>Add to table</t>
  </si>
  <si>
    <t>https://www.ptonline.com/articles/injection-molding-#:~:text=A%20kilogram%20of%20a%20semi-crystalline%20resin%2C%20such%20as,vs.%20342%29%2C%20yet%20their%20processing%20temperatures%20are%20similar.</t>
  </si>
  <si>
    <t>https://omnexus.specialchem.com/polymer-properties/properties/density</t>
  </si>
  <si>
    <t>High Impact ABS</t>
  </si>
  <si>
    <t>https://electroheatinduction.com/how-to-calculate-electricity-cost-for-melting-metal-in-induction-melting-furnace/</t>
  </si>
  <si>
    <t>https://theengineeringmindset.com/density-of-metals/</t>
  </si>
  <si>
    <t>Steel</t>
  </si>
  <si>
    <t>Auminium</t>
  </si>
  <si>
    <t>Assumed to be that of substrate material. Estimate only</t>
  </si>
  <si>
    <t>http://www.psrd.hawaii.edu/CosmoSparks/July12/Lunar-rock-densities.html</t>
  </si>
  <si>
    <t>Moon Rock</t>
  </si>
  <si>
    <t>Melt Energy
kWhrs/ton</t>
  </si>
  <si>
    <t>Density
kg/m3</t>
  </si>
  <si>
    <t>Material</t>
  </si>
  <si>
    <t>Source</t>
  </si>
  <si>
    <t>https://en.wikipedia.org/wiki/Electrical_system_of_the_International_Space_Station</t>
  </si>
  <si>
    <t>Inside diameter of the Seed Ring. ISS dimension relates to maximum length</t>
  </si>
  <si>
    <t>Process Efficiency</t>
  </si>
  <si>
    <t>Inneficiencies in overall system such melt vessel heat loses and power transmission loses</t>
  </si>
  <si>
    <t>Value to be entered</t>
  </si>
  <si>
    <t>Value from external source</t>
  </si>
  <si>
    <t>Notes</t>
  </si>
  <si>
    <t>cm</t>
  </si>
  <si>
    <t>https://arstechnica.com/science/2018/02/three-years-of-sls-development-could-buy-86-falcon-heavy-launches/</t>
  </si>
  <si>
    <t>Lift Cost</t>
  </si>
  <si>
    <t>Raw Materials Production Rate</t>
  </si>
  <si>
    <t>tonnes
/day</t>
  </si>
  <si>
    <t>Calculated Value</t>
  </si>
  <si>
    <t>$bn</t>
  </si>
  <si>
    <t>For all Nozzles</t>
  </si>
  <si>
    <t>Number of Complete Revolutions</t>
  </si>
  <si>
    <t>million</t>
  </si>
  <si>
    <t xml:space="preserve">Section Area Outer </t>
  </si>
  <si>
    <t>Section Area Floor</t>
  </si>
  <si>
    <t>Material Requirements</t>
  </si>
  <si>
    <t>Minutes</t>
  </si>
  <si>
    <t>Revolutions</t>
  </si>
  <si>
    <t>Area of the outer walls required to be fully covered by the print head</t>
  </si>
  <si>
    <t>Area of the central floor area required to be fully covered by the print head</t>
  </si>
  <si>
    <t>Calculated by assuming all nozzles are consurrently printing at the flow rates
For additional comparison nuclear power station range up to 8 MW</t>
  </si>
  <si>
    <t>Number of Print Head Nozzles</t>
  </si>
  <si>
    <t>Assumed $150m per launch</t>
  </si>
  <si>
    <t>Launch Cost</t>
  </si>
  <si>
    <t>$m</t>
  </si>
  <si>
    <t>Additional Print Area</t>
  </si>
  <si>
    <t>For further inner floors / walls as a percentage of the central floor section area</t>
  </si>
  <si>
    <t>Total Sectional Area</t>
  </si>
  <si>
    <t>Floor Space per person at 2.5 m ceiling</t>
  </si>
  <si>
    <t>Approximate calculation does not consider curvature of structure</t>
  </si>
  <si>
    <t>Induced by rotation of ring</t>
  </si>
  <si>
    <t>Used in power sonsumption calculations</t>
  </si>
  <si>
    <t>Based upon the total sectional area divided by the print area (nozzle diameter x print depth x number of nozzles)</t>
  </si>
  <si>
    <t>Calculated using number of revolutions and rotaional speed</t>
  </si>
  <si>
    <t>This number is used in conjunction with the print nozzle size and print depth to calculate how many revolutions are required to cover the area</t>
  </si>
  <si>
    <t>How fast the printer head moves relative to the surface being printed
Current home 3D print speed. Aluminium extrusion in range of 5 - 50 m/min (0.08 - 0.8 m/s)</t>
  </si>
  <si>
    <t>The location of the manufacturing site relative to the position of the sun, earth and moon will impact this number</t>
  </si>
  <si>
    <t>Assumes continuous line of site to the sun</t>
  </si>
  <si>
    <t>Assumes a worst case.</t>
  </si>
  <si>
    <t>Theoretical Minimum Panel Size</t>
  </si>
  <si>
    <t>Inefficiencies in overall system such melt vessel heat loses and power transmission loses</t>
  </si>
  <si>
    <t>Calculated by assuming all nozzles are concurrently printing at the flow rates
For additional comparison nuclear power station range up to 8 MW</t>
  </si>
  <si>
    <t>https://www.space.com/18135-how-big-is-the-moon.html#:~:text=The%20moon%27s%20mass%20is%207.35%20x%2010%2022,3.34%20grams%20per%20cubic%20centimeter%20%283.34%20g%2Fcm%203%29.</t>
  </si>
  <si>
    <t>Proportion of moon</t>
  </si>
  <si>
    <t>Section Area Ground Floor</t>
  </si>
  <si>
    <t>Ground Floor Space</t>
  </si>
  <si>
    <t>Approximate calculation assumes 50% of volume unusable</t>
  </si>
  <si>
    <t>Approximate calculation does not consider curvature of structure. Assumes 2.5m room heights</t>
  </si>
  <si>
    <t>Total Mass of People</t>
  </si>
  <si>
    <t>Ton</t>
  </si>
  <si>
    <t>https://en.wikipedia.org/wiki/Human_body_weight</t>
  </si>
  <si>
    <t>Excluding personal Possessions</t>
  </si>
  <si>
    <t>Mass of moon 7.35 x 10 22 kg</t>
  </si>
  <si>
    <t>64 Ton lift capacity. Not applicable for moon rock</t>
  </si>
  <si>
    <t>The great pyramid is estimated to weight 6 million tons</t>
  </si>
  <si>
    <t>https://en.wikipedia.org/wiki/Great_Pyramid_of_Giza#:~:text=It%20is%20estimated%20that%20the%20pyramid%20weighs%20approximately,is%20seen%20today%20is%20the%20underlying%20core%20structure.</t>
  </si>
  <si>
    <t>Calculated by assuming all nozzles are concurrently printing at the flow rates
For additional comparison nuclear power station range up to 8 GW</t>
  </si>
  <si>
    <t>km2</t>
  </si>
  <si>
    <t>km3</t>
  </si>
  <si>
    <t>Ton/s</t>
  </si>
  <si>
    <t>Possibly constrained by bed space</t>
  </si>
  <si>
    <t>Tons</t>
  </si>
  <si>
    <t>ton
/day</t>
  </si>
  <si>
    <t>tons</t>
  </si>
  <si>
    <t>tons
/day</t>
  </si>
  <si>
    <t>Version 4</t>
  </si>
  <si>
    <t>Version 5</t>
  </si>
  <si>
    <t>Version 6</t>
  </si>
  <si>
    <t>Version 7</t>
  </si>
  <si>
    <t>Version 8</t>
  </si>
  <si>
    <t>Version 9</t>
  </si>
  <si>
    <t>Version 10</t>
  </si>
  <si>
    <t>Version 11</t>
  </si>
  <si>
    <t>1 g at outer surface</t>
  </si>
  <si>
    <t>0.5 g at outer surface</t>
  </si>
  <si>
    <t>m3/s</t>
  </si>
  <si>
    <t>ton/s</t>
  </si>
  <si>
    <t>Production Rate</t>
  </si>
  <si>
    <t>tons/day</t>
  </si>
  <si>
    <t>million tons / day</t>
  </si>
  <si>
    <t>trillion tons</t>
  </si>
  <si>
    <t>million tons</t>
  </si>
  <si>
    <t>KW</t>
  </si>
  <si>
    <t>MW</t>
  </si>
  <si>
    <t>TW</t>
  </si>
  <si>
    <t>km</t>
  </si>
  <si>
    <t>Ratio</t>
  </si>
  <si>
    <t>https://www.encardio.com/blog/all-about-tunnel-boring-machine-components-types-advantages/</t>
  </si>
  <si>
    <t>For comparision at rates of 15 meters per day a tunnel boring machine excavates a volume of material which at moon rock density is 2,000 tons per day.</t>
  </si>
  <si>
    <t>GW</t>
  </si>
  <si>
    <t>Option 1</t>
  </si>
  <si>
    <t>Option 2</t>
  </si>
  <si>
    <t>Option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</si>
</sst>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0.0000000"/>
    <numFmt numFmtId="167" formatCode="0.0"/>
    <numFmt numFmtId="168" formatCode="0.0000"/>
    <numFmt numFmtId="169" formatCode="0.000"/>
    <numFmt numFmtId="170" formatCode="0.00000000%"/>
    <numFmt numFmtId="171" formatCode="_-* #,##0.0_-;\-* #,##0.0_-;_-* &quot;-&quot;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 tint="0.1499984740745262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 tint="0.14999847407452621"/>
      <name val="Calibri"/>
      <family val="2"/>
      <scheme val="minor"/>
    </font>
    <font>
      <sz val="10"/>
      <color rgb="FF2626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65" fontId="2" fillId="0" borderId="0" xfId="1" applyNumberFormat="1" applyFont="1" applyFill="1" applyAlignment="1">
      <alignment horizontal="center" vertical="center" wrapText="1"/>
    </xf>
    <xf numFmtId="2" fontId="2" fillId="0" borderId="0" xfId="1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4" fillId="0" borderId="0" xfId="3" applyFont="1" applyAlignment="1">
      <alignment vertical="center" wrapText="1"/>
    </xf>
    <xf numFmtId="166" fontId="2" fillId="0" borderId="0" xfId="1" applyNumberFormat="1" applyFont="1" applyFill="1" applyAlignment="1">
      <alignment horizontal="center" vertical="center" wrapText="1"/>
    </xf>
    <xf numFmtId="9" fontId="2" fillId="0" borderId="0" xfId="2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0" xfId="0" applyFont="1" applyFill="1" applyAlignment="1">
      <alignment vertical="center" wrapText="1"/>
    </xf>
    <xf numFmtId="2" fontId="6" fillId="3" borderId="0" xfId="1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0" borderId="0" xfId="3" applyAlignment="1">
      <alignment wrapText="1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165" fontId="2" fillId="0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5" fontId="2" fillId="2" borderId="1" xfId="1" applyNumberFormat="1" applyFont="1" applyFill="1" applyBorder="1" applyAlignment="1">
      <alignment vertical="center" wrapText="1"/>
    </xf>
    <xf numFmtId="165" fontId="6" fillId="2" borderId="1" xfId="1" applyNumberFormat="1" applyFont="1" applyFill="1" applyBorder="1" applyAlignment="1">
      <alignment vertical="center" wrapText="1"/>
    </xf>
    <xf numFmtId="9" fontId="2" fillId="0" borderId="2" xfId="2" applyFont="1" applyBorder="1" applyAlignment="1">
      <alignment vertical="center" wrapText="1"/>
    </xf>
    <xf numFmtId="165" fontId="2" fillId="0" borderId="2" xfId="1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5" fontId="6" fillId="2" borderId="2" xfId="1" applyNumberFormat="1" applyFont="1" applyFill="1" applyBorder="1" applyAlignment="1">
      <alignment vertical="center" wrapText="1"/>
    </xf>
    <xf numFmtId="165" fontId="2" fillId="0" borderId="2" xfId="1" applyNumberFormat="1" applyFont="1" applyBorder="1" applyAlignment="1">
      <alignment vertical="center" wrapText="1"/>
    </xf>
    <xf numFmtId="165" fontId="2" fillId="2" borderId="2" xfId="1" applyNumberFormat="1" applyFont="1" applyFill="1" applyBorder="1" applyAlignment="1">
      <alignment vertical="center" wrapText="1"/>
    </xf>
    <xf numFmtId="2" fontId="2" fillId="2" borderId="2" xfId="1" applyNumberFormat="1" applyFont="1" applyFill="1" applyBorder="1" applyAlignment="1">
      <alignment vertical="center" wrapText="1"/>
    </xf>
    <xf numFmtId="166" fontId="2" fillId="0" borderId="2" xfId="1" applyNumberFormat="1" applyFont="1" applyFill="1" applyBorder="1" applyAlignment="1">
      <alignment horizontal="center" vertical="center" wrapText="1"/>
    </xf>
    <xf numFmtId="168" fontId="2" fillId="2" borderId="2" xfId="1" applyNumberFormat="1" applyFont="1" applyFill="1" applyBorder="1" applyAlignment="1">
      <alignment vertical="center" wrapText="1"/>
    </xf>
    <xf numFmtId="1" fontId="2" fillId="0" borderId="2" xfId="1" applyNumberFormat="1" applyFont="1" applyBorder="1" applyAlignment="1">
      <alignment vertical="center" wrapText="1"/>
    </xf>
    <xf numFmtId="1" fontId="6" fillId="2" borderId="2" xfId="1" applyNumberFormat="1" applyFont="1" applyFill="1" applyBorder="1" applyAlignment="1">
      <alignment vertical="center" wrapText="1"/>
    </xf>
    <xf numFmtId="165" fontId="6" fillId="3" borderId="0" xfId="1" applyNumberFormat="1" applyFont="1" applyFill="1" applyAlignment="1">
      <alignment horizontal="center" vertical="center" wrapText="1"/>
    </xf>
    <xf numFmtId="165" fontId="2" fillId="4" borderId="2" xfId="1" applyNumberFormat="1" applyFont="1" applyFill="1" applyBorder="1" applyAlignment="1">
      <alignment vertical="center" wrapText="1"/>
    </xf>
    <xf numFmtId="167" fontId="2" fillId="0" borderId="2" xfId="1" applyNumberFormat="1" applyFont="1" applyBorder="1" applyAlignment="1">
      <alignment vertical="center" wrapText="1"/>
    </xf>
    <xf numFmtId="167" fontId="6" fillId="2" borderId="2" xfId="1" applyNumberFormat="1" applyFont="1" applyFill="1" applyBorder="1" applyAlignment="1">
      <alignment vertical="center" wrapText="1"/>
    </xf>
    <xf numFmtId="2" fontId="2" fillId="4" borderId="1" xfId="1" applyNumberFormat="1" applyFont="1" applyFill="1" applyBorder="1" applyAlignment="1">
      <alignment vertical="center" wrapText="1"/>
    </xf>
    <xf numFmtId="166" fontId="2" fillId="0" borderId="1" xfId="1" applyNumberFormat="1" applyFont="1" applyFill="1" applyBorder="1" applyAlignment="1">
      <alignment horizontal="center" vertical="center" wrapText="1"/>
    </xf>
    <xf numFmtId="1" fontId="2" fillId="0" borderId="1" xfId="1" applyNumberFormat="1" applyFont="1" applyFill="1" applyBorder="1" applyAlignment="1">
      <alignment horizontal="center" vertical="center" wrapText="1"/>
    </xf>
    <xf numFmtId="165" fontId="2" fillId="4" borderId="1" xfId="1" applyNumberFormat="1" applyFont="1" applyFill="1" applyBorder="1" applyAlignment="1">
      <alignment vertical="center" wrapText="1"/>
    </xf>
    <xf numFmtId="0" fontId="4" fillId="0" borderId="1" xfId="3" applyFont="1" applyBorder="1" applyAlignment="1">
      <alignment vertical="center" wrapText="1"/>
    </xf>
    <xf numFmtId="9" fontId="2" fillId="0" borderId="1" xfId="2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169" fontId="2" fillId="0" borderId="2" xfId="1" applyNumberFormat="1" applyFont="1" applyFill="1" applyBorder="1" applyAlignment="1">
      <alignment horizontal="center" vertical="center" wrapText="1"/>
    </xf>
    <xf numFmtId="2" fontId="2" fillId="0" borderId="2" xfId="1" applyNumberFormat="1" applyFont="1" applyBorder="1" applyAlignment="1">
      <alignment vertical="center" wrapText="1"/>
    </xf>
    <xf numFmtId="43" fontId="2" fillId="2" borderId="2" xfId="1" applyFont="1" applyFill="1" applyBorder="1" applyAlignment="1">
      <alignment vertical="center" wrapText="1"/>
    </xf>
    <xf numFmtId="164" fontId="2" fillId="0" borderId="2" xfId="1" applyNumberFormat="1" applyFont="1" applyFill="1" applyBorder="1" applyAlignment="1">
      <alignment horizontal="center" vertical="center" wrapText="1"/>
    </xf>
    <xf numFmtId="9" fontId="2" fillId="0" borderId="2" xfId="2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2" fillId="2" borderId="2" xfId="1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5" borderId="0" xfId="0" applyFill="1" applyAlignment="1">
      <alignment horizontal="center" wrapText="1"/>
    </xf>
    <xf numFmtId="0" fontId="0" fillId="0" borderId="2" xfId="0" applyBorder="1" applyAlignment="1">
      <alignment wrapText="1"/>
    </xf>
    <xf numFmtId="0" fontId="3" fillId="0" borderId="2" xfId="3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167" fontId="0" fillId="0" borderId="0" xfId="0" applyNumberFormat="1"/>
    <xf numFmtId="0" fontId="3" fillId="0" borderId="2" xfId="3" applyBorder="1" applyAlignment="1">
      <alignment vertical="center" wrapText="1"/>
    </xf>
    <xf numFmtId="164" fontId="6" fillId="2" borderId="2" xfId="1" applyNumberFormat="1" applyFont="1" applyFill="1" applyBorder="1" applyAlignment="1">
      <alignment vertical="center" wrapText="1"/>
    </xf>
    <xf numFmtId="1" fontId="2" fillId="6" borderId="1" xfId="1" applyNumberFormat="1" applyFont="1" applyFill="1" applyBorder="1" applyAlignment="1">
      <alignment horizontal="center" vertical="center" wrapText="1"/>
    </xf>
    <xf numFmtId="165" fontId="2" fillId="6" borderId="1" xfId="1" applyNumberFormat="1" applyFont="1" applyFill="1" applyBorder="1" applyAlignment="1">
      <alignment vertical="center" wrapText="1"/>
    </xf>
    <xf numFmtId="165" fontId="2" fillId="6" borderId="2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5" fontId="2" fillId="6" borderId="2" xfId="1" applyNumberFormat="1" applyFont="1" applyFill="1" applyBorder="1" applyAlignment="1">
      <alignment vertical="center" wrapText="1"/>
    </xf>
    <xf numFmtId="2" fontId="2" fillId="6" borderId="1" xfId="1" applyNumberFormat="1" applyFont="1" applyFill="1" applyBorder="1" applyAlignment="1">
      <alignment vertical="center" wrapText="1"/>
    </xf>
    <xf numFmtId="0" fontId="0" fillId="6" borderId="2" xfId="0" applyFill="1" applyBorder="1" applyAlignment="1">
      <alignment horizontal="center" wrapText="1"/>
    </xf>
    <xf numFmtId="1" fontId="0" fillId="6" borderId="2" xfId="0" applyNumberFormat="1" applyFill="1" applyBorder="1" applyAlignment="1">
      <alignment horizont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165" fontId="2" fillId="0" borderId="3" xfId="1" applyNumberFormat="1" applyFont="1" applyBorder="1" applyAlignment="1">
      <alignment vertical="center" wrapText="1"/>
    </xf>
    <xf numFmtId="165" fontId="2" fillId="6" borderId="3" xfId="1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2" fontId="6" fillId="3" borderId="2" xfId="1" applyNumberFormat="1" applyFont="1" applyFill="1" applyBorder="1" applyAlignment="1">
      <alignment horizontal="center" vertical="center" wrapText="1"/>
    </xf>
    <xf numFmtId="165" fontId="6" fillId="3" borderId="2" xfId="1" applyNumberFormat="1" applyFont="1" applyFill="1" applyBorder="1" applyAlignment="1">
      <alignment horizontal="center" vertical="center" wrapText="1"/>
    </xf>
    <xf numFmtId="169" fontId="2" fillId="2" borderId="2" xfId="1" applyNumberFormat="1" applyFont="1" applyFill="1" applyBorder="1" applyAlignment="1">
      <alignment vertical="center" wrapText="1"/>
    </xf>
    <xf numFmtId="164" fontId="2" fillId="2" borderId="2" xfId="1" applyNumberFormat="1" applyFont="1" applyFill="1" applyBorder="1" applyAlignment="1">
      <alignment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165" fontId="2" fillId="0" borderId="0" xfId="1" applyNumberFormat="1" applyFont="1" applyAlignment="1">
      <alignment vertical="center" wrapText="1"/>
    </xf>
    <xf numFmtId="166" fontId="2" fillId="0" borderId="0" xfId="1" applyNumberFormat="1" applyFont="1" applyFill="1" applyBorder="1" applyAlignment="1">
      <alignment horizontal="center" vertical="center" wrapText="1"/>
    </xf>
    <xf numFmtId="1" fontId="2" fillId="6" borderId="2" xfId="1" applyNumberFormat="1" applyFont="1" applyFill="1" applyBorder="1" applyAlignment="1">
      <alignment vertical="center" wrapText="1"/>
    </xf>
    <xf numFmtId="165" fontId="2" fillId="0" borderId="2" xfId="1" applyNumberFormat="1" applyFont="1" applyFill="1" applyBorder="1" applyAlignment="1">
      <alignment vertical="center" wrapText="1"/>
    </xf>
    <xf numFmtId="170" fontId="6" fillId="2" borderId="2" xfId="2" applyNumberFormat="1" applyFont="1" applyFill="1" applyBorder="1" applyAlignment="1">
      <alignment vertical="center" wrapText="1"/>
    </xf>
    <xf numFmtId="0" fontId="6" fillId="3" borderId="2" xfId="0" quotePrefix="1" applyFont="1" applyFill="1" applyBorder="1" applyAlignment="1">
      <alignment horizontal="center" vertical="center" wrapText="1"/>
    </xf>
    <xf numFmtId="11" fontId="6" fillId="2" borderId="2" xfId="2" applyNumberFormat="1" applyFont="1" applyFill="1" applyBorder="1" applyAlignment="1">
      <alignment vertical="center" wrapText="1"/>
    </xf>
    <xf numFmtId="167" fontId="2" fillId="2" borderId="2" xfId="1" applyNumberFormat="1" applyFont="1" applyFill="1" applyBorder="1" applyAlignment="1">
      <alignment vertical="center" wrapText="1"/>
    </xf>
    <xf numFmtId="9" fontId="2" fillId="2" borderId="2" xfId="2" applyFont="1" applyFill="1" applyBorder="1" applyAlignment="1">
      <alignment vertical="center" wrapText="1"/>
    </xf>
    <xf numFmtId="165" fontId="2" fillId="0" borderId="0" xfId="1" applyNumberFormat="1" applyFont="1" applyAlignment="1">
      <alignment vertical="center"/>
    </xf>
    <xf numFmtId="167" fontId="2" fillId="0" borderId="2" xfId="1" applyNumberFormat="1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169" fontId="2" fillId="0" borderId="2" xfId="1" applyNumberFormat="1" applyFont="1" applyFill="1" applyBorder="1" applyAlignment="1">
      <alignment vertical="center" wrapText="1"/>
    </xf>
    <xf numFmtId="2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164" fontId="2" fillId="0" borderId="2" xfId="1" applyNumberFormat="1" applyFont="1" applyBorder="1" applyAlignment="1">
      <alignment vertical="center" wrapText="1"/>
    </xf>
    <xf numFmtId="164" fontId="2" fillId="0" borderId="4" xfId="1" applyNumberFormat="1" applyFont="1" applyFill="1" applyBorder="1" applyAlignment="1">
      <alignment vertical="center" wrapText="1"/>
    </xf>
    <xf numFmtId="171" fontId="0" fillId="0" borderId="0" xfId="0" applyNumberFormat="1"/>
    <xf numFmtId="165" fontId="2" fillId="0" borderId="4" xfId="1" applyNumberFormat="1" applyFont="1" applyFill="1" applyBorder="1" applyAlignment="1">
      <alignment vertical="center" wrapText="1"/>
    </xf>
    <xf numFmtId="9" fontId="0" fillId="0" borderId="0" xfId="2" applyFont="1"/>
    <xf numFmtId="165" fontId="0" fillId="0" borderId="0" xfId="0" applyNumberFormat="1"/>
    <xf numFmtId="43" fontId="6" fillId="2" borderId="2" xfId="1" applyFont="1" applyFill="1" applyBorder="1" applyAlignment="1">
      <alignment vertical="center" wrapText="1"/>
    </xf>
    <xf numFmtId="43" fontId="2" fillId="0" borderId="0" xfId="0" applyNumberFormat="1" applyFont="1" applyAlignment="1">
      <alignment vertical="center"/>
    </xf>
    <xf numFmtId="2" fontId="2" fillId="6" borderId="2" xfId="1" applyNumberFormat="1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1" fontId="2" fillId="6" borderId="2" xfId="1" applyNumberFormat="1" applyFont="1" applyFill="1" applyBorder="1" applyAlignment="1">
      <alignment horizontal="center" vertical="center" wrapText="1"/>
    </xf>
    <xf numFmtId="1" fontId="2" fillId="0" borderId="2" xfId="1" applyNumberFormat="1" applyFont="1" applyFill="1" applyBorder="1" applyAlignment="1">
      <alignment horizontal="center" vertical="center" wrapText="1"/>
    </xf>
    <xf numFmtId="0" fontId="4" fillId="0" borderId="2" xfId="3" applyFont="1" applyBorder="1" applyAlignment="1">
      <alignment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Required Print Speed</a:t>
            </a:r>
            <a:r>
              <a:rPr lang="en-GB" baseline="0"/>
              <a:t> for 1g on outer edge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'gravity chart'!$C$87:$N$87</c:f>
              <c:numCache>
                <c:formatCode>_-* #,##0_-;\-* #,##0_-;_-* "-"??_-;_-@_-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6000</c:v>
                </c:pt>
                <c:pt idx="5">
                  <c:v>8000</c:v>
                </c:pt>
                <c:pt idx="6">
                  <c:v>10000</c:v>
                </c:pt>
                <c:pt idx="7">
                  <c:v>20000</c:v>
                </c:pt>
                <c:pt idx="8">
                  <c:v>40000</c:v>
                </c:pt>
                <c:pt idx="9">
                  <c:v>60000</c:v>
                </c:pt>
                <c:pt idx="10">
                  <c:v>80000</c:v>
                </c:pt>
                <c:pt idx="11">
                  <c:v>100000</c:v>
                </c:pt>
              </c:numCache>
            </c:numRef>
          </c:xVal>
          <c:yVal>
            <c:numRef>
              <c:f>'gravity chart'!$C$88:$N$88</c:f>
              <c:numCache>
                <c:formatCode>_-* #,##0_-;\-* #,##0_-;_-* "-"??_-;_-@_-</c:formatCode>
                <c:ptCount val="12"/>
                <c:pt idx="0">
                  <c:v>23</c:v>
                </c:pt>
                <c:pt idx="1">
                  <c:v>70</c:v>
                </c:pt>
                <c:pt idx="2">
                  <c:v>100</c:v>
                </c:pt>
                <c:pt idx="3">
                  <c:v>140</c:v>
                </c:pt>
                <c:pt idx="4">
                  <c:v>172</c:v>
                </c:pt>
                <c:pt idx="5">
                  <c:v>200</c:v>
                </c:pt>
                <c:pt idx="6">
                  <c:v>225</c:v>
                </c:pt>
                <c:pt idx="7">
                  <c:v>315</c:v>
                </c:pt>
                <c:pt idx="8">
                  <c:v>450</c:v>
                </c:pt>
                <c:pt idx="9">
                  <c:v>540</c:v>
                </c:pt>
                <c:pt idx="10">
                  <c:v>625</c:v>
                </c:pt>
                <c:pt idx="11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77-4A86-9319-C94B243C571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'gravity chart'!$C$87:$N$87</c:f>
              <c:numCache>
                <c:formatCode>_-* #,##0_-;\-* #,##0_-;_-* "-"??_-;_-@_-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6000</c:v>
                </c:pt>
                <c:pt idx="5">
                  <c:v>8000</c:v>
                </c:pt>
                <c:pt idx="6">
                  <c:v>10000</c:v>
                </c:pt>
                <c:pt idx="7">
                  <c:v>20000</c:v>
                </c:pt>
                <c:pt idx="8">
                  <c:v>40000</c:v>
                </c:pt>
                <c:pt idx="9">
                  <c:v>60000</c:v>
                </c:pt>
                <c:pt idx="10">
                  <c:v>80000</c:v>
                </c:pt>
                <c:pt idx="11">
                  <c:v>100000</c:v>
                </c:pt>
              </c:numCache>
            </c:numRef>
          </c:xVal>
          <c:yVal>
            <c:numRef>
              <c:f>'gravity chart'!$C$89:$N$89</c:f>
              <c:numCache>
                <c:formatCode>_-* #,##0_-;\-* #,##0_-;_-* "-"??_-;_-@_-</c:formatCode>
                <c:ptCount val="12"/>
                <c:pt idx="0">
                  <c:v>15.5</c:v>
                </c:pt>
                <c:pt idx="1">
                  <c:v>50</c:v>
                </c:pt>
                <c:pt idx="2">
                  <c:v>70</c:v>
                </c:pt>
                <c:pt idx="3">
                  <c:v>100</c:v>
                </c:pt>
                <c:pt idx="4">
                  <c:v>122</c:v>
                </c:pt>
                <c:pt idx="5">
                  <c:v>140</c:v>
                </c:pt>
                <c:pt idx="6">
                  <c:v>157</c:v>
                </c:pt>
                <c:pt idx="7">
                  <c:v>222</c:v>
                </c:pt>
                <c:pt idx="8">
                  <c:v>315</c:v>
                </c:pt>
                <c:pt idx="9">
                  <c:v>382</c:v>
                </c:pt>
                <c:pt idx="10">
                  <c:v>445</c:v>
                </c:pt>
                <c:pt idx="11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77-4A86-9319-C94B243C5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781728"/>
        <c:axId val="832913392"/>
      </c:scatterChart>
      <c:valAx>
        <c:axId val="1182781728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Outer Diameter</a:t>
                </a:r>
                <a:r>
                  <a:rPr lang="en-GB" baseline="0"/>
                  <a:t> m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913392"/>
        <c:crosses val="autoZero"/>
        <c:crossBetween val="midCat"/>
      </c:valAx>
      <c:valAx>
        <c:axId val="8329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Print Head 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78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'gravity chart'!$C$87:$N$87</c:f>
              <c:numCache>
                <c:formatCode>_-* #,##0_-;\-* #,##0_-;_-* "-"??_-;_-@_-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6000</c:v>
                </c:pt>
                <c:pt idx="5">
                  <c:v>8000</c:v>
                </c:pt>
                <c:pt idx="6">
                  <c:v>10000</c:v>
                </c:pt>
                <c:pt idx="7">
                  <c:v>20000</c:v>
                </c:pt>
                <c:pt idx="8">
                  <c:v>40000</c:v>
                </c:pt>
                <c:pt idx="9">
                  <c:v>60000</c:v>
                </c:pt>
                <c:pt idx="10">
                  <c:v>80000</c:v>
                </c:pt>
                <c:pt idx="11">
                  <c:v>100000</c:v>
                </c:pt>
              </c:numCache>
            </c:numRef>
          </c:xVal>
          <c:yVal>
            <c:numRef>
              <c:f>'gravity chart'!$C$88:$N$88</c:f>
              <c:numCache>
                <c:formatCode>_-* #,##0_-;\-* #,##0_-;_-* "-"??_-;_-@_-</c:formatCode>
                <c:ptCount val="12"/>
                <c:pt idx="0">
                  <c:v>23</c:v>
                </c:pt>
                <c:pt idx="1">
                  <c:v>70</c:v>
                </c:pt>
                <c:pt idx="2">
                  <c:v>100</c:v>
                </c:pt>
                <c:pt idx="3">
                  <c:v>140</c:v>
                </c:pt>
                <c:pt idx="4">
                  <c:v>172</c:v>
                </c:pt>
                <c:pt idx="5">
                  <c:v>200</c:v>
                </c:pt>
                <c:pt idx="6">
                  <c:v>225</c:v>
                </c:pt>
                <c:pt idx="7">
                  <c:v>315</c:v>
                </c:pt>
                <c:pt idx="8">
                  <c:v>450</c:v>
                </c:pt>
                <c:pt idx="9">
                  <c:v>540</c:v>
                </c:pt>
                <c:pt idx="10">
                  <c:v>625</c:v>
                </c:pt>
                <c:pt idx="11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E3-40B0-82B4-800DD410B0B8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'gravity chart'!$C$87:$N$87</c:f>
              <c:numCache>
                <c:formatCode>_-* #,##0_-;\-* #,##0_-;_-* "-"??_-;_-@_-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6000</c:v>
                </c:pt>
                <c:pt idx="5">
                  <c:v>8000</c:v>
                </c:pt>
                <c:pt idx="6">
                  <c:v>10000</c:v>
                </c:pt>
                <c:pt idx="7">
                  <c:v>20000</c:v>
                </c:pt>
                <c:pt idx="8">
                  <c:v>40000</c:v>
                </c:pt>
                <c:pt idx="9">
                  <c:v>60000</c:v>
                </c:pt>
                <c:pt idx="10">
                  <c:v>80000</c:v>
                </c:pt>
                <c:pt idx="11">
                  <c:v>100000</c:v>
                </c:pt>
              </c:numCache>
            </c:numRef>
          </c:xVal>
          <c:yVal>
            <c:numRef>
              <c:f>'gravity chart'!$C$89:$N$89</c:f>
              <c:numCache>
                <c:formatCode>_-* #,##0_-;\-* #,##0_-;_-* "-"??_-;_-@_-</c:formatCode>
                <c:ptCount val="12"/>
                <c:pt idx="0">
                  <c:v>15.5</c:v>
                </c:pt>
                <c:pt idx="1">
                  <c:v>50</c:v>
                </c:pt>
                <c:pt idx="2">
                  <c:v>70</c:v>
                </c:pt>
                <c:pt idx="3">
                  <c:v>100</c:v>
                </c:pt>
                <c:pt idx="4">
                  <c:v>122</c:v>
                </c:pt>
                <c:pt idx="5">
                  <c:v>140</c:v>
                </c:pt>
                <c:pt idx="6">
                  <c:v>157</c:v>
                </c:pt>
                <c:pt idx="7">
                  <c:v>222</c:v>
                </c:pt>
                <c:pt idx="8">
                  <c:v>315</c:v>
                </c:pt>
                <c:pt idx="9">
                  <c:v>382</c:v>
                </c:pt>
                <c:pt idx="10">
                  <c:v>445</c:v>
                </c:pt>
                <c:pt idx="11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E3-40B0-82B4-800DD410B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979008"/>
        <c:axId val="1413132736"/>
      </c:scatterChart>
      <c:valAx>
        <c:axId val="155397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132736"/>
        <c:crosses val="autoZero"/>
        <c:crossBetween val="midCat"/>
      </c:valAx>
      <c:valAx>
        <c:axId val="141313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979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Required</a:t>
            </a:r>
            <a:r>
              <a:rPr lang="en-GB" baseline="0"/>
              <a:t> ring speed at different g levels and size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'gravity chart'!$A$88:$B$88</c:f>
              <c:strCache>
                <c:ptCount val="2"/>
                <c:pt idx="0">
                  <c:v>1 g at outer surface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'gravity chart'!$C$87:$N$87</c:f>
              <c:numCache>
                <c:formatCode>_-* #,##0_-;\-* #,##0_-;_-* "-"??_-;_-@_-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6000</c:v>
                </c:pt>
                <c:pt idx="5">
                  <c:v>8000</c:v>
                </c:pt>
                <c:pt idx="6">
                  <c:v>10000</c:v>
                </c:pt>
                <c:pt idx="7">
                  <c:v>20000</c:v>
                </c:pt>
                <c:pt idx="8">
                  <c:v>40000</c:v>
                </c:pt>
                <c:pt idx="9">
                  <c:v>60000</c:v>
                </c:pt>
                <c:pt idx="10">
                  <c:v>80000</c:v>
                </c:pt>
                <c:pt idx="11">
                  <c:v>100000</c:v>
                </c:pt>
              </c:numCache>
            </c:numRef>
          </c:xVal>
          <c:yVal>
            <c:numRef>
              <c:f>'gravity chart'!$C$88:$N$88</c:f>
              <c:numCache>
                <c:formatCode>_-* #,##0_-;\-* #,##0_-;_-* "-"??_-;_-@_-</c:formatCode>
                <c:ptCount val="12"/>
                <c:pt idx="0">
                  <c:v>23</c:v>
                </c:pt>
                <c:pt idx="1">
                  <c:v>70</c:v>
                </c:pt>
                <c:pt idx="2">
                  <c:v>100</c:v>
                </c:pt>
                <c:pt idx="3">
                  <c:v>140</c:v>
                </c:pt>
                <c:pt idx="4">
                  <c:v>172</c:v>
                </c:pt>
                <c:pt idx="5">
                  <c:v>200</c:v>
                </c:pt>
                <c:pt idx="6">
                  <c:v>225</c:v>
                </c:pt>
                <c:pt idx="7">
                  <c:v>315</c:v>
                </c:pt>
                <c:pt idx="8">
                  <c:v>450</c:v>
                </c:pt>
                <c:pt idx="9">
                  <c:v>540</c:v>
                </c:pt>
                <c:pt idx="10">
                  <c:v>625</c:v>
                </c:pt>
                <c:pt idx="11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0C-4394-AD1A-93866AB4FDD6}"/>
            </c:ext>
          </c:extLst>
        </c:ser>
        <c:ser>
          <c:idx val="1"/>
          <c:order val="1"/>
          <c:tx>
            <c:strRef>
              <c:f>'gravity chart'!$A$89:$B$89</c:f>
              <c:strCache>
                <c:ptCount val="2"/>
                <c:pt idx="0">
                  <c:v>0.5 g at outer surface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'gravity chart'!$C$87:$N$87</c:f>
              <c:numCache>
                <c:formatCode>_-* #,##0_-;\-* #,##0_-;_-* "-"??_-;_-@_-</c:formatCode>
                <c:ptCount val="12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6000</c:v>
                </c:pt>
                <c:pt idx="5">
                  <c:v>8000</c:v>
                </c:pt>
                <c:pt idx="6">
                  <c:v>10000</c:v>
                </c:pt>
                <c:pt idx="7">
                  <c:v>20000</c:v>
                </c:pt>
                <c:pt idx="8">
                  <c:v>40000</c:v>
                </c:pt>
                <c:pt idx="9">
                  <c:v>60000</c:v>
                </c:pt>
                <c:pt idx="10">
                  <c:v>80000</c:v>
                </c:pt>
                <c:pt idx="11">
                  <c:v>100000</c:v>
                </c:pt>
              </c:numCache>
            </c:numRef>
          </c:xVal>
          <c:yVal>
            <c:numRef>
              <c:f>'gravity chart'!$C$89:$N$89</c:f>
              <c:numCache>
                <c:formatCode>_-* #,##0_-;\-* #,##0_-;_-* "-"??_-;_-@_-</c:formatCode>
                <c:ptCount val="12"/>
                <c:pt idx="0">
                  <c:v>15.5</c:v>
                </c:pt>
                <c:pt idx="1">
                  <c:v>50</c:v>
                </c:pt>
                <c:pt idx="2">
                  <c:v>70</c:v>
                </c:pt>
                <c:pt idx="3">
                  <c:v>100</c:v>
                </c:pt>
                <c:pt idx="4">
                  <c:v>122</c:v>
                </c:pt>
                <c:pt idx="5">
                  <c:v>140</c:v>
                </c:pt>
                <c:pt idx="6">
                  <c:v>157</c:v>
                </c:pt>
                <c:pt idx="7">
                  <c:v>222</c:v>
                </c:pt>
                <c:pt idx="8">
                  <c:v>315</c:v>
                </c:pt>
                <c:pt idx="9">
                  <c:v>382</c:v>
                </c:pt>
                <c:pt idx="10">
                  <c:v>445</c:v>
                </c:pt>
                <c:pt idx="11">
                  <c:v>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0C-4394-AD1A-93866AB4F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5675728"/>
        <c:axId val="1295433424"/>
      </c:scatterChart>
      <c:valAx>
        <c:axId val="1415675728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Outer Diameter</a:t>
                </a:r>
                <a:r>
                  <a:rPr lang="en-GB" baseline="0"/>
                  <a:t> m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433424"/>
        <c:crosses val="autoZero"/>
        <c:crossBetween val="midCat"/>
      </c:valAx>
      <c:valAx>
        <c:axId val="129543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Print Head speed m/s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75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Sheet7!$B$2:$B$4</c:f>
              <c:numCache>
                <c:formatCode>General</c:formatCode>
                <c:ptCount val="3"/>
                <c:pt idx="0">
                  <c:v>100</c:v>
                </c:pt>
                <c:pt idx="1">
                  <c:v>1000</c:v>
                </c:pt>
                <c:pt idx="2">
                  <c:v>100000</c:v>
                </c:pt>
              </c:numCache>
            </c:numRef>
          </c:xVal>
          <c:yVal>
            <c:numRef>
              <c:f>Sheet7!$C$2:$C$4</c:f>
              <c:numCache>
                <c:formatCode>General</c:formatCode>
                <c:ptCount val="3"/>
                <c:pt idx="0">
                  <c:v>23</c:v>
                </c:pt>
                <c:pt idx="1">
                  <c:v>70</c:v>
                </c:pt>
                <c:pt idx="2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EE-42BE-9C22-7180A2E3D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332976"/>
        <c:axId val="832914224"/>
      </c:scatterChart>
      <c:valAx>
        <c:axId val="129533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914224"/>
        <c:crosses val="autoZero"/>
        <c:crossBetween val="midCat"/>
      </c:valAx>
      <c:valAx>
        <c:axId val="83291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33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Print Time vs Wall Thickness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Comparison'!$A$3</c:f>
              <c:strCache>
                <c:ptCount val="1"/>
                <c:pt idx="0">
                  <c:v>Print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'Chart Comparison'!$B$2:$D$2</c:f>
              <c:numCache>
                <c:formatCode>0.0</c:formatCode>
                <c:ptCount val="3"/>
                <c:pt idx="0">
                  <c:v>2</c:v>
                </c:pt>
                <c:pt idx="1">
                  <c:v>50</c:v>
                </c:pt>
                <c:pt idx="2">
                  <c:v>1000</c:v>
                </c:pt>
              </c:numCache>
            </c:numRef>
          </c:xVal>
          <c:yVal>
            <c:numRef>
              <c:f>'Chart Comparison'!$B$3:$D$3</c:f>
              <c:numCache>
                <c:formatCode>General</c:formatCode>
                <c:ptCount val="3"/>
                <c:pt idx="0">
                  <c:v>8.4950121862001158</c:v>
                </c:pt>
                <c:pt idx="1">
                  <c:v>10.614022100139524</c:v>
                </c:pt>
                <c:pt idx="2">
                  <c:v>24.382675480128526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6F-4F88-B99F-59B4E12EE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708031"/>
        <c:axId val="1655470703"/>
      </c:scatterChart>
      <c:valAx>
        <c:axId val="169970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470703"/>
        <c:crosses val="autoZero"/>
        <c:crossBetween val="midCat"/>
      </c:valAx>
      <c:valAx>
        <c:axId val="165547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0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 Comparison'!$A$6</c:f>
              <c:strCache>
                <c:ptCount val="1"/>
                <c:pt idx="0">
                  <c:v>Falcon Heavy Lifts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'Chart Comparison'!$B$5:$D$5</c:f>
              <c:numCache>
                <c:formatCode>0.0</c:formatCode>
                <c:ptCount val="3"/>
                <c:pt idx="0">
                  <c:v>2</c:v>
                </c:pt>
                <c:pt idx="1">
                  <c:v>50</c:v>
                </c:pt>
                <c:pt idx="2">
                  <c:v>1000</c:v>
                </c:pt>
              </c:numCache>
            </c:numRef>
          </c:xVal>
          <c:yVal>
            <c:numRef>
              <c:f>'Chart Comparison'!$B$6:$D$6</c:f>
              <c:numCache>
                <c:formatCode>General</c:formatCode>
                <c:ptCount val="3"/>
                <c:pt idx="0">
                  <c:v>7.7127437157314116</c:v>
                </c:pt>
                <c:pt idx="1">
                  <c:v>40291.376257439872</c:v>
                </c:pt>
                <c:pt idx="2">
                  <c:v>299022907.02437991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F9A-A217-422494EDC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329999"/>
        <c:axId val="2082571455"/>
      </c:scatterChart>
      <c:valAx>
        <c:axId val="202732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571455"/>
        <c:crosses val="autoZero"/>
        <c:crossBetween val="midCat"/>
      </c:valAx>
      <c:valAx>
        <c:axId val="208257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29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Print Time vs Wall Thickness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'Charts 100m'!$A$3</c:f>
              <c:strCache>
                <c:ptCount val="1"/>
                <c:pt idx="0">
                  <c:v>Print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'Charts 100m'!$B$2:$D$2</c:f>
              <c:numCache>
                <c:formatCode>0.0</c:formatCode>
                <c:ptCount val="3"/>
                <c:pt idx="0">
                  <c:v>2</c:v>
                </c:pt>
                <c:pt idx="1">
                  <c:v>5</c:v>
                </c:pt>
                <c:pt idx="2">
                  <c:v>10</c:v>
                </c:pt>
              </c:numCache>
            </c:numRef>
          </c:xVal>
          <c:yVal>
            <c:numRef>
              <c:f>'Charts 100m'!$B$3:$D$3</c:f>
              <c:numCache>
                <c:formatCode>General</c:formatCode>
                <c:ptCount val="3"/>
                <c:pt idx="0">
                  <c:v>8.495012186200114</c:v>
                </c:pt>
                <c:pt idx="1">
                  <c:v>5.3070110500694847</c:v>
                </c:pt>
                <c:pt idx="2">
                  <c:v>10.6061168791224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6A-4E14-A810-C44849402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708031"/>
        <c:axId val="1655470703"/>
      </c:scatterChart>
      <c:valAx>
        <c:axId val="169970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470703"/>
        <c:crosses val="autoZero"/>
        <c:crossBetween val="midCat"/>
      </c:valAx>
      <c:valAx>
        <c:axId val="165547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0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'Charts 100m'!$A$6</c:f>
              <c:strCache>
                <c:ptCount val="1"/>
                <c:pt idx="0">
                  <c:v>Falcon Heavy Lifts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'Charts 100m'!$B$5:$D$5</c:f>
              <c:numCache>
                <c:formatCode>0.0</c:formatCode>
                <c:ptCount val="3"/>
                <c:pt idx="0">
                  <c:v>2</c:v>
                </c:pt>
                <c:pt idx="1">
                  <c:v>5</c:v>
                </c:pt>
                <c:pt idx="2">
                  <c:v>10</c:v>
                </c:pt>
              </c:numCache>
            </c:numRef>
          </c:xVal>
          <c:yVal>
            <c:numRef>
              <c:f>'Charts 100m'!$B$6:$D$6</c:f>
              <c:numCache>
                <c:formatCode>General</c:formatCode>
                <c:ptCount val="3"/>
                <c:pt idx="0">
                  <c:v>7.7127437157314116</c:v>
                </c:pt>
                <c:pt idx="1">
                  <c:v>19.188058587389452</c:v>
                </c:pt>
                <c:pt idx="2">
                  <c:v>15.478796128950105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B4-4998-9829-068CA6691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329999"/>
        <c:axId val="2082571455"/>
      </c:scatterChart>
      <c:valAx>
        <c:axId val="202732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571455"/>
        <c:crosses val="autoZero"/>
        <c:crossBetween val="midCat"/>
      </c:valAx>
      <c:valAx>
        <c:axId val="208257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29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Print Time vs Wall Thickness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'Charts All'!$A$3</c:f>
              <c:strCache>
                <c:ptCount val="1"/>
                <c:pt idx="0">
                  <c:v>Print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'Charts All'!$B$2:$D$2</c:f>
              <c:numCache>
                <c:formatCode>0.0</c:formatCode>
                <c:ptCount val="3"/>
                <c:pt idx="0">
                  <c:v>2</c:v>
                </c:pt>
                <c:pt idx="1">
                  <c:v>50</c:v>
                </c:pt>
                <c:pt idx="2">
                  <c:v>1000</c:v>
                </c:pt>
              </c:numCache>
            </c:numRef>
          </c:xVal>
          <c:yVal>
            <c:numRef>
              <c:f>'Charts All'!$B$3:$D$3</c:f>
              <c:numCache>
                <c:formatCode>General</c:formatCode>
                <c:ptCount val="3"/>
                <c:pt idx="0">
                  <c:v>8.4950121862001158</c:v>
                </c:pt>
                <c:pt idx="1">
                  <c:v>7.1584713010527645</c:v>
                </c:pt>
                <c:pt idx="2">
                  <c:v>2.2918490464062233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69-4959-990C-1AA5ABAAF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708031"/>
        <c:axId val="1655470703"/>
      </c:scatterChart>
      <c:valAx>
        <c:axId val="169970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470703"/>
        <c:crosses val="autoZero"/>
        <c:crossBetween val="midCat"/>
      </c:valAx>
      <c:valAx>
        <c:axId val="165547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0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'Charts All'!$A$6</c:f>
              <c:strCache>
                <c:ptCount val="1"/>
                <c:pt idx="0">
                  <c:v>Falcon Heavy Lifts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'Charts All'!$B$5:$D$5</c:f>
              <c:numCache>
                <c:formatCode>0.0</c:formatCode>
                <c:ptCount val="3"/>
                <c:pt idx="0">
                  <c:v>2</c:v>
                </c:pt>
                <c:pt idx="1">
                  <c:v>50</c:v>
                </c:pt>
                <c:pt idx="2">
                  <c:v>1000</c:v>
                </c:pt>
              </c:numCache>
            </c:numRef>
          </c:xVal>
          <c:yVal>
            <c:numRef>
              <c:f>'Charts All'!$B$6:$D$6</c:f>
              <c:numCache>
                <c:formatCode>General</c:formatCode>
                <c:ptCount val="3"/>
                <c:pt idx="0">
                  <c:v>7.7127437157314116</c:v>
                </c:pt>
                <c:pt idx="1">
                  <c:v>40291.376257439872</c:v>
                </c:pt>
                <c:pt idx="2">
                  <c:v>30484755698.350731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EC-464A-87ED-4E232518C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329999"/>
        <c:axId val="2082571455"/>
      </c:scatterChart>
      <c:valAx>
        <c:axId val="202732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571455"/>
        <c:crosses val="autoZero"/>
        <c:crossBetween val="midCat"/>
      </c:valAx>
      <c:valAx>
        <c:axId val="208257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29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Print Time vs Wall Thickness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'Charts 1km'!$A$3</c:f>
              <c:strCache>
                <c:ptCount val="1"/>
                <c:pt idx="0">
                  <c:v>Print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'Charts 1km'!$B$2:$D$2</c:f>
              <c:numCache>
                <c:formatCode>0.0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</c:numCache>
            </c:numRef>
          </c:xVal>
          <c:yVal>
            <c:numRef>
              <c:f>'Charts 1km'!$B$3:$D$3</c:f>
              <c:numCache>
                <c:formatCode>General</c:formatCode>
                <c:ptCount val="3"/>
                <c:pt idx="0">
                  <c:v>42.456088400558087</c:v>
                </c:pt>
                <c:pt idx="1">
                  <c:v>21.228044200279051</c:v>
                </c:pt>
                <c:pt idx="2">
                  <c:v>10.614022100139525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39-4E44-9DF7-24B11DC16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708031"/>
        <c:axId val="1655470703"/>
      </c:scatterChart>
      <c:valAx>
        <c:axId val="169970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470703"/>
        <c:crosses val="autoZero"/>
        <c:crossBetween val="midCat"/>
      </c:valAx>
      <c:valAx>
        <c:axId val="165547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0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'Charts 1km'!$A$6</c:f>
              <c:strCache>
                <c:ptCount val="1"/>
                <c:pt idx="0">
                  <c:v>Falcon Heavy Lifts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'Charts 1km'!$B$5:$D$5</c:f>
              <c:numCache>
                <c:formatCode>0.0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</c:numCache>
            </c:numRef>
          </c:xVal>
          <c:yVal>
            <c:numRef>
              <c:f>'Charts 1km'!$B$6:$D$6</c:f>
              <c:numCache>
                <c:formatCode>General</c:formatCode>
                <c:ptCount val="3"/>
                <c:pt idx="0">
                  <c:v>19188.05858738994</c:v>
                </c:pt>
                <c:pt idx="1">
                  <c:v>32233.101005951899</c:v>
                </c:pt>
                <c:pt idx="2">
                  <c:v>20145.688128719936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D9-4974-95E3-6E022C309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329999"/>
        <c:axId val="2082571455"/>
      </c:scatterChart>
      <c:valAx>
        <c:axId val="202732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571455"/>
        <c:crosses val="autoZero"/>
        <c:crossBetween val="midCat"/>
      </c:valAx>
      <c:valAx>
        <c:axId val="208257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29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Ring proportions impact on materials usage for given internal</a:t>
            </a:r>
            <a:r>
              <a:rPr lang="en-GB" baseline="0"/>
              <a:t> volume 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'Torus Calcs'!$D$35:$F$35</c:f>
              <c:numCache>
                <c:formatCode>_-* #,##0_-;\-* #,##0_-;_-* "-"??_-;_-@_-</c:formatCode>
                <c:ptCount val="3"/>
                <c:pt idx="0">
                  <c:v>2</c:v>
                </c:pt>
                <c:pt idx="1">
                  <c:v>10</c:v>
                </c:pt>
                <c:pt idx="2">
                  <c:v>29.411764705882351</c:v>
                </c:pt>
              </c:numCache>
            </c:numRef>
          </c:xVal>
          <c:yVal>
            <c:numRef>
              <c:f>'Torus Calcs'!$D$36:$F$36</c:f>
              <c:numCache>
                <c:formatCode>0%</c:formatCode>
                <c:ptCount val="3"/>
                <c:pt idx="0">
                  <c:v>1</c:v>
                </c:pt>
                <c:pt idx="1">
                  <c:v>0.77596427512461263</c:v>
                </c:pt>
                <c:pt idx="2">
                  <c:v>0.32879426287276226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FF-4549-9D67-A00819E28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436256"/>
        <c:axId val="1424213440"/>
      </c:scatterChart>
      <c:valAx>
        <c:axId val="155443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Ratio</a:t>
                </a:r>
                <a:r>
                  <a:rPr lang="en-GB" baseline="0"/>
                  <a:t> of </a:t>
                </a:r>
                <a:r>
                  <a:rPr lang="en-GB"/>
                  <a:t>Outer Diameter</a:t>
                </a:r>
                <a:r>
                  <a:rPr lang="en-GB" baseline="0"/>
                  <a:t> to Section Diameter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13440"/>
        <c:crosses val="autoZero"/>
        <c:crossBetween val="midCat"/>
      </c:valAx>
      <c:valAx>
        <c:axId val="14242134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Material 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43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Print Time vs Wall Thickness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'Charts 100km'!$A$3</c:f>
              <c:strCache>
                <c:ptCount val="1"/>
                <c:pt idx="0">
                  <c:v>Print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'Charts 100km'!$B$2:$D$2</c:f>
              <c:numCache>
                <c:formatCode>0.0</c:formatCode>
                <c:ptCount val="3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</c:numCache>
            </c:numRef>
          </c:xVal>
          <c:yVal>
            <c:numRef>
              <c:f>'Charts 100km'!$B$3:$D$3</c:f>
              <c:numCache>
                <c:formatCode>General</c:formatCode>
                <c:ptCount val="3"/>
                <c:pt idx="0">
                  <c:v>9.7530701920514122</c:v>
                </c:pt>
                <c:pt idx="1">
                  <c:v>15.604912307282261</c:v>
                </c:pt>
                <c:pt idx="2">
                  <c:v>24.382675480128526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F5-45B0-998F-B29C2414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708031"/>
        <c:axId val="1655470703"/>
      </c:scatterChart>
      <c:valAx>
        <c:axId val="169970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470703"/>
        <c:crosses val="autoZero"/>
        <c:crossBetween val="midCat"/>
      </c:valAx>
      <c:valAx>
        <c:axId val="165547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0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'Charts 100km'!$A$6</c:f>
              <c:strCache>
                <c:ptCount val="1"/>
                <c:pt idx="0">
                  <c:v>Falcon Heavy Lifts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'Charts 100km'!$B$5:$D$5</c:f>
              <c:numCache>
                <c:formatCode>0.0</c:formatCode>
                <c:ptCount val="3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</c:numCache>
            </c:numRef>
          </c:xVal>
          <c:yVal>
            <c:numRef>
              <c:f>'Charts 100km'!$B$6:$D$6</c:f>
              <c:numCache>
                <c:formatCode>General</c:formatCode>
                <c:ptCount val="3"/>
                <c:pt idx="0">
                  <c:v>299022907.02437991</c:v>
                </c:pt>
                <c:pt idx="1">
                  <c:v>299022907.02437991</c:v>
                </c:pt>
                <c:pt idx="2">
                  <c:v>299022907.02437991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E7-48B6-8A16-497AFC2BC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329999"/>
        <c:axId val="2082571455"/>
      </c:scatterChart>
      <c:valAx>
        <c:axId val="2027329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571455"/>
        <c:crosses val="autoZero"/>
        <c:crossBetween val="midCat"/>
      </c:valAx>
      <c:valAx>
        <c:axId val="208257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29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2" fmlaLink="'Materials Properties'!$B$2" fmlaRange="'Materials Properties'!$H$2:$H$20" noThreeD="1" sel="2" val="0"/>
</file>

<file path=xl/ctrlProps/ctrlProp2.xml><?xml version="1.0" encoding="utf-8"?>
<formControlPr xmlns="http://schemas.microsoft.com/office/spreadsheetml/2009/9/main" objectType="Drop" dropStyle="combo" dx="22" fmlaLink="'Materials Properties'!$C$2" fmlaRange="'Materials Properties'!$H$2:$H$20" noThreeD="1" sel="1" val="0"/>
</file>

<file path=xl/ctrlProps/ctrlProp3.xml><?xml version="1.0" encoding="utf-8"?>
<formControlPr xmlns="http://schemas.microsoft.com/office/spreadsheetml/2009/9/main" objectType="Drop" dropStyle="combo" dx="22" fmlaLink="'Materials Properties'!$D$2" fmlaRange="'Materials Properties'!$H$2:$H$20" noThreeD="1" sel="1" val="0"/>
</file>

<file path=xl/ctrlProps/ctrlProp4.xml><?xml version="1.0" encoding="utf-8"?>
<formControlPr xmlns="http://schemas.microsoft.com/office/spreadsheetml/2009/9/main" objectType="Drop" dropStyle="combo" dx="22" fmlaLink="'Materials Table'!$B$2" fmlaRange="'Materials Table'!$H$2:$H$20" noThreeD="1" sel="2" val="0"/>
</file>

<file path=xl/ctrlProps/ctrlProp5.xml><?xml version="1.0" encoding="utf-8"?>
<formControlPr xmlns="http://schemas.microsoft.com/office/spreadsheetml/2009/9/main" objectType="Drop" dropStyle="combo" dx="22" fmlaLink="'Materials Table'!$C$2" fmlaRange="'Materials Table'!$H$2:$H$20" noThreeD="1" sel="1" val="0"/>
</file>

<file path=xl/ctrlProps/ctrlProp6.xml><?xml version="1.0" encoding="utf-8"?>
<formControlPr xmlns="http://schemas.microsoft.com/office/spreadsheetml/2009/9/main" objectType="Drop" dropStyle="combo" dx="22" fmlaLink="'Materials Table'!$D$2" fmlaRange="'Materials Table'!$H$2:$H$20" noThreeD="1" sel="1" val="0"/>
</file>

<file path=xl/ctrlProps/ctrlProp7.xml><?xml version="1.0" encoding="utf-8"?>
<formControlPr xmlns="http://schemas.microsoft.com/office/spreadsheetml/2009/9/main" objectType="Drop" dropStyle="combo" dx="22" fmlaLink="'Materials Table 100m'!$B$2" fmlaRange="'Materials Table 100m'!$H$2:$H$20" noThreeD="1" sel="2" val="0"/>
</file>

<file path=xl/ctrlProps/ctrlProp8.xml><?xml version="1.0" encoding="utf-8"?>
<formControlPr xmlns="http://schemas.microsoft.com/office/spreadsheetml/2009/9/main" objectType="Drop" dropStyle="combo" dx="22" fmlaLink="'Materials Table 100m'!$C$2" fmlaRange="'Materials Table 100m'!$H$2:$H$20" noThreeD="1" sel="2" val="0"/>
</file>

<file path=xl/ctrlProps/ctrlProp9.xml><?xml version="1.0" encoding="utf-8"?>
<formControlPr xmlns="http://schemas.microsoft.com/office/spreadsheetml/2009/9/main" objectType="Drop" dropStyle="combo" dx="22" fmlaLink="'Materials Table 100m'!$D$2" fmlaRange="'Materials Table 100m'!$H$2:$H$20" noThreeD="1" sel="4" val="3"/>
</file>

<file path=xl/ctrlProps/ctrlProp10.xml><?xml version="1.0" encoding="utf-8"?>
<formControlPr xmlns="http://schemas.microsoft.com/office/spreadsheetml/2009/9/main" objectType="Drop" dropStyle="combo" dx="22" fmlaLink="'Materials Table 1km'!$B$2" fmlaRange="'Materials Table 1km'!$H$2:$H$20" noThreeD="1" sel="2" val="0"/>
</file>

<file path=xl/ctrlProps/ctrlProp11.xml><?xml version="1.0" encoding="utf-8"?>
<formControlPr xmlns="http://schemas.microsoft.com/office/spreadsheetml/2009/9/main" objectType="Drop" dropStyle="combo" dx="22" fmlaLink="'Materials Table 1km'!$C$2" fmlaRange="'Materials Table 1km'!$H$2:$H$20" noThreeD="1" sel="1" val="0"/>
</file>

<file path=xl/ctrlProps/ctrlProp12.xml><?xml version="1.0" encoding="utf-8"?>
<formControlPr xmlns="http://schemas.microsoft.com/office/spreadsheetml/2009/9/main" objectType="Drop" dropStyle="combo" dx="22" fmlaLink="'Materials Table 1km'!$D$2" fmlaRange="'Materials Table 1km'!$H$2:$H$20" noThreeD="1" sel="1" val="0"/>
</file>

<file path=xl/ctrlProps/ctrlProp13.xml><?xml version="1.0" encoding="utf-8"?>
<formControlPr xmlns="http://schemas.microsoft.com/office/spreadsheetml/2009/9/main" objectType="Drop" dropStyle="combo" dx="22" fmlaLink="'Materials Table 100km'!$B$2" fmlaRange="'Materials Table 100km'!$H$2:$H$20" noThreeD="1" sel="1" val="0"/>
</file>

<file path=xl/ctrlProps/ctrlProp14.xml><?xml version="1.0" encoding="utf-8"?>
<formControlPr xmlns="http://schemas.microsoft.com/office/spreadsheetml/2009/9/main" objectType="Drop" dropStyle="combo" dx="22" fmlaLink="'Materials Table 100km'!$C$2" fmlaRange="'Materials Table 100km'!$H$2:$H$20" noThreeD="1" sel="1" val="0"/>
</file>

<file path=xl/ctrlProps/ctrlProp15.xml><?xml version="1.0" encoding="utf-8"?>
<formControlPr xmlns="http://schemas.microsoft.com/office/spreadsheetml/2009/9/main" objectType="Drop" dropStyle="combo" dx="22" fmlaLink="'Materials Table 100km'!$D$2" fmlaRange="'Materials Table 100km'!$H$2:$H$20" noThreeD="1" sel="1" val="0"/>
</file>

<file path=xl/ctrlProps/ctrlProp16.xml><?xml version="1.0" encoding="utf-8"?>
<formControlPr xmlns="http://schemas.microsoft.com/office/spreadsheetml/2009/9/main" objectType="Drop" dropStyle="combo" dx="22" fmlaLink="'Materials Table All'!$B$2" fmlaRange="'Materials Table All'!$H$2:$H$20" noThreeD="1" sel="2" val="0"/>
</file>

<file path=xl/ctrlProps/ctrlProp17.xml><?xml version="1.0" encoding="utf-8"?>
<formControlPr xmlns="http://schemas.microsoft.com/office/spreadsheetml/2009/9/main" objectType="Drop" dropStyle="combo" dx="22" fmlaLink="'Materials Table All'!$C$2" fmlaRange="'Materials Table All'!$H$2:$H$20" noThreeD="1" sel="1" val="0"/>
</file>

<file path=xl/ctrlProps/ctrlProp18.xml><?xml version="1.0" encoding="utf-8"?>
<formControlPr xmlns="http://schemas.microsoft.com/office/spreadsheetml/2009/9/main" objectType="Drop" dropStyle="combo" dx="22" fmlaLink="'Materials Table All'!$D$2" fmlaRange="'Materials Table All'!$H$2:$H$20" noThreeD="1" sel="1" val="0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609600</xdr:colOff>
          <xdr:row>48</xdr:row>
          <xdr:rowOff>175260</xdr:rowOff>
        </xdr:from>
        <xdr:to>
          <xdr:col>4</xdr:col>
          <xdr:colOff>7620</xdr:colOff>
          <xdr:row>50</xdr:row>
          <xdr:rowOff>0</xdr:rowOff>
        </xdr:to>
        <xdr:sp macro="" textlink="">
          <xdr:nvSpPr>
            <xdr:cNvPr id="22529" name="Drop Down 1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00000000-0008-0000-0000-000001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48</xdr:row>
          <xdr:rowOff>182880</xdr:rowOff>
        </xdr:from>
        <xdr:to>
          <xdr:col>5</xdr:col>
          <xdr:colOff>0</xdr:colOff>
          <xdr:row>50</xdr:row>
          <xdr:rowOff>7620</xdr:rowOff>
        </xdr:to>
        <xdr:sp macro="" textlink="">
          <xdr:nvSpPr>
            <xdr:cNvPr id="22530" name="Drop Down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00000000-0008-0000-0000-000002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48</xdr:row>
          <xdr:rowOff>175260</xdr:rowOff>
        </xdr:from>
        <xdr:to>
          <xdr:col>6</xdr:col>
          <xdr:colOff>0</xdr:colOff>
          <xdr:row>50</xdr:row>
          <xdr:rowOff>0</xdr:rowOff>
        </xdr:to>
        <xdr:sp macro="" textlink="">
          <xdr:nvSpPr>
            <xdr:cNvPr id="22531" name="Drop Down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00000000-0008-0000-0000-0000035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89</xdr:row>
      <xdr:rowOff>87630</xdr:rowOff>
    </xdr:from>
    <xdr:to>
      <xdr:col>8</xdr:col>
      <xdr:colOff>281940</xdr:colOff>
      <xdr:row>104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640080</xdr:colOff>
      <xdr:row>96</xdr:row>
      <xdr:rowOff>11430</xdr:rowOff>
    </xdr:from>
    <xdr:to>
      <xdr:col>15</xdr:col>
      <xdr:colOff>167640</xdr:colOff>
      <xdr:row>111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1181100</xdr:colOff>
      <xdr:row>32</xdr:row>
      <xdr:rowOff>11430</xdr:rowOff>
    </xdr:from>
    <xdr:to>
      <xdr:col>5</xdr:col>
      <xdr:colOff>320040</xdr:colOff>
      <xdr:row>93</xdr:row>
      <xdr:rowOff>11430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87630</xdr:rowOff>
    </xdr:from>
    <xdr:to>
      <xdr:col>15</xdr:col>
      <xdr:colOff>228600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1</xdr:row>
      <xdr:rowOff>52387</xdr:rowOff>
    </xdr:from>
    <xdr:to>
      <xdr:col>19</xdr:col>
      <xdr:colOff>95250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404812</xdr:colOff>
      <xdr:row>17</xdr:row>
      <xdr:rowOff>23812</xdr:rowOff>
    </xdr:from>
    <xdr:to>
      <xdr:col>19</xdr:col>
      <xdr:colOff>100012</xdr:colOff>
      <xdr:row>31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609600</xdr:colOff>
          <xdr:row>20</xdr:row>
          <xdr:rowOff>175260</xdr:rowOff>
        </xdr:from>
        <xdr:to>
          <xdr:col>4</xdr:col>
          <xdr:colOff>7620</xdr:colOff>
          <xdr:row>22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</xdr:row>
          <xdr:rowOff>182880</xdr:rowOff>
        </xdr:from>
        <xdr:to>
          <xdr:col>5</xdr:col>
          <xdr:colOff>0</xdr:colOff>
          <xdr:row>22</xdr:row>
          <xdr:rowOff>7620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5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175260</xdr:rowOff>
        </xdr:from>
        <xdr:to>
          <xdr:col>6</xdr:col>
          <xdr:colOff>0</xdr:colOff>
          <xdr:row>22</xdr:row>
          <xdr:rowOff>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5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609600</xdr:colOff>
          <xdr:row>42</xdr:row>
          <xdr:rowOff>175260</xdr:rowOff>
        </xdr:from>
        <xdr:to>
          <xdr:col>4</xdr:col>
          <xdr:colOff>7620</xdr:colOff>
          <xdr:row>44</xdr:row>
          <xdr:rowOff>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8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42</xdr:row>
          <xdr:rowOff>182880</xdr:rowOff>
        </xdr:from>
        <xdr:to>
          <xdr:col>5</xdr:col>
          <xdr:colOff>0</xdr:colOff>
          <xdr:row>44</xdr:row>
          <xdr:rowOff>7620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8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42</xdr:row>
          <xdr:rowOff>175260</xdr:rowOff>
        </xdr:from>
        <xdr:to>
          <xdr:col>6</xdr:col>
          <xdr:colOff>0</xdr:colOff>
          <xdr:row>44</xdr:row>
          <xdr:rowOff>0</xdr:rowOff>
        </xdr:to>
        <xdr:sp macro="" textlink="">
          <xdr:nvSpPr>
            <xdr:cNvPr id="4099" name="Drop Dow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8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1</xdr:row>
      <xdr:rowOff>52387</xdr:rowOff>
    </xdr:from>
    <xdr:to>
      <xdr:col>19</xdr:col>
      <xdr:colOff>95250</xdr:colOff>
      <xdr:row>16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404812</xdr:colOff>
      <xdr:row>17</xdr:row>
      <xdr:rowOff>23812</xdr:rowOff>
    </xdr:from>
    <xdr:to>
      <xdr:col>19</xdr:col>
      <xdr:colOff>100012</xdr:colOff>
      <xdr:row>31</xdr:row>
      <xdr:rowOff>100012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1</xdr:row>
      <xdr:rowOff>52387</xdr:rowOff>
    </xdr:from>
    <xdr:to>
      <xdr:col>19</xdr:col>
      <xdr:colOff>95250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404812</xdr:colOff>
      <xdr:row>17</xdr:row>
      <xdr:rowOff>23812</xdr:rowOff>
    </xdr:from>
    <xdr:to>
      <xdr:col>19</xdr:col>
      <xdr:colOff>100012</xdr:colOff>
      <xdr:row>31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609600</xdr:colOff>
          <xdr:row>44</xdr:row>
          <xdr:rowOff>175260</xdr:rowOff>
        </xdr:from>
        <xdr:to>
          <xdr:col>4</xdr:col>
          <xdr:colOff>7620</xdr:colOff>
          <xdr:row>46</xdr:row>
          <xdr:rowOff>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D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44</xdr:row>
          <xdr:rowOff>182880</xdr:rowOff>
        </xdr:from>
        <xdr:to>
          <xdr:col>5</xdr:col>
          <xdr:colOff>0</xdr:colOff>
          <xdr:row>46</xdr:row>
          <xdr:rowOff>7620</xdr:rowOff>
        </xdr:to>
        <xdr:sp macro="" textlink="">
          <xdr:nvSpPr>
            <xdr:cNvPr id="9218" name="Drop Dow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D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44</xdr:row>
          <xdr:rowOff>175260</xdr:rowOff>
        </xdr:from>
        <xdr:to>
          <xdr:col>6</xdr:col>
          <xdr:colOff>0</xdr:colOff>
          <xdr:row>46</xdr:row>
          <xdr:rowOff>0</xdr:rowOff>
        </xdr:to>
        <xdr:sp macro="" textlink="">
          <xdr:nvSpPr>
            <xdr:cNvPr id="9219" name="Drop Dow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D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1</xdr:row>
      <xdr:rowOff>52387</xdr:rowOff>
    </xdr:from>
    <xdr:to>
      <xdr:col>19</xdr:col>
      <xdr:colOff>95250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404812</xdr:colOff>
      <xdr:row>17</xdr:row>
      <xdr:rowOff>23812</xdr:rowOff>
    </xdr:from>
    <xdr:to>
      <xdr:col>19</xdr:col>
      <xdr:colOff>100012</xdr:colOff>
      <xdr:row>31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609600</xdr:colOff>
          <xdr:row>48</xdr:row>
          <xdr:rowOff>175260</xdr:rowOff>
        </xdr:from>
        <xdr:to>
          <xdr:col>4</xdr:col>
          <xdr:colOff>7620</xdr:colOff>
          <xdr:row>50</xdr:row>
          <xdr:rowOff>0</xdr:rowOff>
        </xdr:to>
        <xdr:sp macro="" textlink="">
          <xdr:nvSpPr>
            <xdr:cNvPr id="12289" name="Drop Dow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10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48</xdr:row>
          <xdr:rowOff>182880</xdr:rowOff>
        </xdr:from>
        <xdr:to>
          <xdr:col>5</xdr:col>
          <xdr:colOff>0</xdr:colOff>
          <xdr:row>50</xdr:row>
          <xdr:rowOff>7620</xdr:rowOff>
        </xdr:to>
        <xdr:sp macro="" textlink="">
          <xdr:nvSpPr>
            <xdr:cNvPr id="12290" name="Drop Down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10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48</xdr:row>
          <xdr:rowOff>175260</xdr:rowOff>
        </xdr:from>
        <xdr:to>
          <xdr:col>6</xdr:col>
          <xdr:colOff>0</xdr:colOff>
          <xdr:row>50</xdr:row>
          <xdr:rowOff>0</xdr:rowOff>
        </xdr:to>
        <xdr:sp macro="" textlink="">
          <xdr:nvSpPr>
            <xdr:cNvPr id="12291" name="Drop Down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10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708660</xdr:colOff>
      <xdr:row>8</xdr:row>
      <xdr:rowOff>11430</xdr:rowOff>
    </xdr:from>
    <xdr:to>
      <xdr:col>14</xdr:col>
      <xdr:colOff>236220</xdr:colOff>
      <xdr:row>34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400050</xdr:colOff>
      <xdr:row>1</xdr:row>
      <xdr:rowOff>52387</xdr:rowOff>
    </xdr:from>
    <xdr:to>
      <xdr:col>19</xdr:col>
      <xdr:colOff>95250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404812</xdr:colOff>
      <xdr:row>17</xdr:row>
      <xdr:rowOff>23812</xdr:rowOff>
    </xdr:from>
    <xdr:to>
      <xdr:col>19</xdr:col>
      <xdr:colOff>100012</xdr:colOff>
      <xdr:row>31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609600</xdr:colOff>
          <xdr:row>42</xdr:row>
          <xdr:rowOff>175260</xdr:rowOff>
        </xdr:from>
        <xdr:to>
          <xdr:col>4</xdr:col>
          <xdr:colOff>7620</xdr:colOff>
          <xdr:row>44</xdr:row>
          <xdr:rowOff>0</xdr:rowOff>
        </xdr:to>
        <xdr:sp macro="" textlink="">
          <xdr:nvSpPr>
            <xdr:cNvPr id="14337" name="Drop Dow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15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42</xdr:row>
          <xdr:rowOff>182880</xdr:rowOff>
        </xdr:from>
        <xdr:to>
          <xdr:col>5</xdr:col>
          <xdr:colOff>0</xdr:colOff>
          <xdr:row>44</xdr:row>
          <xdr:rowOff>7620</xdr:rowOff>
        </xdr:to>
        <xdr:sp macro="" textlink="">
          <xdr:nvSpPr>
            <xdr:cNvPr id="14338" name="Drop Down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15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42</xdr:row>
          <xdr:rowOff>175260</xdr:rowOff>
        </xdr:from>
        <xdr:to>
          <xdr:col>6</xdr:col>
          <xdr:colOff>0</xdr:colOff>
          <xdr:row>44</xdr:row>
          <xdr:rowOff>0</xdr:rowOff>
        </xdr:to>
        <xdr:sp macro="" textlink="">
          <xdr:nvSpPr>
            <xdr:cNvPr id="14339" name="Drop Down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15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13" Type="http://schemas.openxmlformats.org/officeDocument/2006/relationships/ctrlProp" Target="../ctrlProps/ctrlProp3.xml"/><Relationship Id="rId3" Type="http://schemas.openxmlformats.org/officeDocument/2006/relationships/hyperlink" Target="https://arstechnica.com/science/2018/02/three-years-of-sls-development-could-buy-86-falcon-heavy-launches/" TargetMode="External"/><Relationship Id="rId7" Type="http://schemas.openxmlformats.org/officeDocument/2006/relationships/hyperlink" Target="https://en.wikipedia.org/wiki/Great_Pyramid_of_Giza" TargetMode="External"/><Relationship Id="rId12" Type="http://schemas.openxmlformats.org/officeDocument/2006/relationships/ctrlProp" Target="../ctrlProps/ctrlProp2.xml"/><Relationship Id="rId2" Type="http://schemas.openxmlformats.org/officeDocument/2006/relationships/hyperlink" Target="https://www.nasa.gov/mission_pages/station/structure/elements/solar_arrays-about.html" TargetMode="External"/><Relationship Id="rId1" Type="http://schemas.openxmlformats.org/officeDocument/2006/relationships/hyperlink" Target="https://www.solarenspace.com/solaren-space-solar/ssp-overview/" TargetMode="External"/><Relationship Id="rId6" Type="http://schemas.openxmlformats.org/officeDocument/2006/relationships/hyperlink" Target="https://en.wikipedia.org/wiki/Human_body_weight" TargetMode="External"/><Relationship Id="rId11" Type="http://schemas.openxmlformats.org/officeDocument/2006/relationships/ctrlProp" Target="../ctrlProps/ctrlProp1.xml"/><Relationship Id="rId5" Type="http://schemas.openxmlformats.org/officeDocument/2006/relationships/hyperlink" Target="https://www.space.com/18135-how-big-is-the-moon.html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arstechnica.com/science/2018/02/three-years-of-sls-development-could-buy-86-falcon-heavy-launches/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theengineeringmindset.com/density-of-metals/" TargetMode="External"/><Relationship Id="rId2" Type="http://schemas.openxmlformats.org/officeDocument/2006/relationships/hyperlink" Target="https://theengineeringmindset.com/density-of-metals/" TargetMode="External"/><Relationship Id="rId1" Type="http://schemas.openxmlformats.org/officeDocument/2006/relationships/hyperlink" Target="http://www.psrd.hawaii.edu/CosmoSparks/July12/Lunar-rock-densities.html" TargetMode="External"/><Relationship Id="rId6" Type="http://schemas.openxmlformats.org/officeDocument/2006/relationships/hyperlink" Target="https://www.ptonline.com/articles/injection-molding-" TargetMode="External"/><Relationship Id="rId5" Type="http://schemas.openxmlformats.org/officeDocument/2006/relationships/hyperlink" Target="https://electroheatinduction.com/how-to-calculate-electricity-cost-for-melting-metal-in-induction-melting-furnace/" TargetMode="External"/><Relationship Id="rId4" Type="http://schemas.openxmlformats.org/officeDocument/2006/relationships/hyperlink" Target="https://omnexus.specialchem.com/polymer-properties/properties/density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printerSettings" Target="../printerSettings/printerSettings3.bin"/><Relationship Id="rId7" Type="http://schemas.openxmlformats.org/officeDocument/2006/relationships/ctrlProp" Target="../ctrlProps/ctrlProp5.xml"/><Relationship Id="rId2" Type="http://schemas.openxmlformats.org/officeDocument/2006/relationships/hyperlink" Target="https://www.nasa.gov/mission_pages/station/structure/elements/solar_arrays-about.html" TargetMode="External"/><Relationship Id="rId1" Type="http://schemas.openxmlformats.org/officeDocument/2006/relationships/hyperlink" Target="https://www.solarenspace.com/solaren-space-solar/ssp-overview/" TargetMode="External"/><Relationship Id="rId6" Type="http://schemas.openxmlformats.org/officeDocument/2006/relationships/ctrlProp" Target="../ctrlProps/ctrlProp4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theengineeringmindset.com/density-of-metals/" TargetMode="External"/><Relationship Id="rId2" Type="http://schemas.openxmlformats.org/officeDocument/2006/relationships/hyperlink" Target="https://theengineeringmindset.com/density-of-metals/" TargetMode="External"/><Relationship Id="rId1" Type="http://schemas.openxmlformats.org/officeDocument/2006/relationships/hyperlink" Target="http://www.psrd.hawaii.edu/CosmoSparks/July12/Lunar-rock-densities.html" TargetMode="External"/><Relationship Id="rId6" Type="http://schemas.openxmlformats.org/officeDocument/2006/relationships/hyperlink" Target="https://www.ptonline.com/articles/injection-molding-" TargetMode="External"/><Relationship Id="rId5" Type="http://schemas.openxmlformats.org/officeDocument/2006/relationships/hyperlink" Target="https://electroheatinduction.com/how-to-calculate-electricity-cost-for-melting-metal-in-induction-melting-furnace/" TargetMode="External"/><Relationship Id="rId4" Type="http://schemas.openxmlformats.org/officeDocument/2006/relationships/hyperlink" Target="https://omnexus.specialchem.com/polymer-properties/properties/density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3" Type="http://schemas.openxmlformats.org/officeDocument/2006/relationships/hyperlink" Target="https://arstechnica.com/science/2018/02/three-years-of-sls-development-could-buy-86-falcon-heavy-launches/" TargetMode="External"/><Relationship Id="rId7" Type="http://schemas.openxmlformats.org/officeDocument/2006/relationships/vmlDrawing" Target="../drawings/vmlDrawing3.vml"/><Relationship Id="rId2" Type="http://schemas.openxmlformats.org/officeDocument/2006/relationships/hyperlink" Target="https://www.nasa.gov/mission_pages/station/structure/elements/solar_arrays-about.html" TargetMode="External"/><Relationship Id="rId1" Type="http://schemas.openxmlformats.org/officeDocument/2006/relationships/hyperlink" Target="https://www.solarenspace.com/solaren-space-solar/ssp-overview/" TargetMode="External"/><Relationship Id="rId6" Type="http://schemas.openxmlformats.org/officeDocument/2006/relationships/drawing" Target="../drawings/drawing6.xml"/><Relationship Id="rId5" Type="http://schemas.openxmlformats.org/officeDocument/2006/relationships/printerSettings" Target="../printerSettings/printerSettings4.bin"/><Relationship Id="rId10" Type="http://schemas.openxmlformats.org/officeDocument/2006/relationships/ctrlProp" Target="../ctrlProps/ctrlProp9.xml"/><Relationship Id="rId4" Type="http://schemas.openxmlformats.org/officeDocument/2006/relationships/hyperlink" Target="https://arstechnica.com/science/2018/02/three-years-of-sls-development-could-buy-86-falcon-heavy-launches/" TargetMode="External"/><Relationship Id="rId9" Type="http://schemas.openxmlformats.org/officeDocument/2006/relationships/ctrlProp" Target="../ctrlProps/ctrlProp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engineeringmindset.com/density-of-metals/" TargetMode="External"/><Relationship Id="rId2" Type="http://schemas.openxmlformats.org/officeDocument/2006/relationships/hyperlink" Target="https://theengineeringmindset.com/density-of-metals/" TargetMode="External"/><Relationship Id="rId1" Type="http://schemas.openxmlformats.org/officeDocument/2006/relationships/hyperlink" Target="http://www.psrd.hawaii.edu/CosmoSparks/July12/Lunar-rock-densities.html" TargetMode="External"/><Relationship Id="rId6" Type="http://schemas.openxmlformats.org/officeDocument/2006/relationships/hyperlink" Target="https://www.ptonline.com/articles/injection-molding-" TargetMode="External"/><Relationship Id="rId5" Type="http://schemas.openxmlformats.org/officeDocument/2006/relationships/hyperlink" Target="https://electroheatinduction.com/how-to-calculate-electricity-cost-for-melting-metal-in-induction-melting-furnace/" TargetMode="External"/><Relationship Id="rId4" Type="http://schemas.openxmlformats.org/officeDocument/2006/relationships/hyperlink" Target="https://omnexus.specialchem.com/polymer-properties/properties/density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theengineeringmindset.com/density-of-metals/" TargetMode="External"/><Relationship Id="rId2" Type="http://schemas.openxmlformats.org/officeDocument/2006/relationships/hyperlink" Target="https://theengineeringmindset.com/density-of-metals/" TargetMode="External"/><Relationship Id="rId1" Type="http://schemas.openxmlformats.org/officeDocument/2006/relationships/hyperlink" Target="http://www.psrd.hawaii.edu/CosmoSparks/July12/Lunar-rock-densities.html" TargetMode="External"/><Relationship Id="rId6" Type="http://schemas.openxmlformats.org/officeDocument/2006/relationships/hyperlink" Target="https://www.ptonline.com/articles/injection-molding-" TargetMode="External"/><Relationship Id="rId5" Type="http://schemas.openxmlformats.org/officeDocument/2006/relationships/hyperlink" Target="https://electroheatinduction.com/how-to-calculate-electricity-cost-for-melting-metal-in-induction-melting-furnace/" TargetMode="External"/><Relationship Id="rId4" Type="http://schemas.openxmlformats.org/officeDocument/2006/relationships/hyperlink" Target="https://omnexus.specialchem.com/polymer-properties/properties/density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13" Type="http://schemas.openxmlformats.org/officeDocument/2006/relationships/ctrlProp" Target="../ctrlProps/ctrlProp12.xml"/><Relationship Id="rId3" Type="http://schemas.openxmlformats.org/officeDocument/2006/relationships/hyperlink" Target="https://arstechnica.com/science/2018/02/three-years-of-sls-development-could-buy-86-falcon-heavy-launches/" TargetMode="External"/><Relationship Id="rId7" Type="http://schemas.openxmlformats.org/officeDocument/2006/relationships/hyperlink" Target="https://www.encardio.com/blog/all-about-tunnel-boring-machine-components-types-advantages/" TargetMode="External"/><Relationship Id="rId12" Type="http://schemas.openxmlformats.org/officeDocument/2006/relationships/ctrlProp" Target="../ctrlProps/ctrlProp11.xml"/><Relationship Id="rId2" Type="http://schemas.openxmlformats.org/officeDocument/2006/relationships/hyperlink" Target="https://www.nasa.gov/mission_pages/station/structure/elements/solar_arrays-about.html" TargetMode="External"/><Relationship Id="rId1" Type="http://schemas.openxmlformats.org/officeDocument/2006/relationships/hyperlink" Target="https://www.solarenspace.com/solaren-space-solar/ssp-overview/" TargetMode="External"/><Relationship Id="rId6" Type="http://schemas.openxmlformats.org/officeDocument/2006/relationships/hyperlink" Target="https://en.wikipedia.org/wiki/Human_body_weight" TargetMode="External"/><Relationship Id="rId11" Type="http://schemas.openxmlformats.org/officeDocument/2006/relationships/ctrlProp" Target="../ctrlProps/ctrlProp10.xml"/><Relationship Id="rId5" Type="http://schemas.openxmlformats.org/officeDocument/2006/relationships/hyperlink" Target="https://www.space.com/18135-how-big-is-the-moon.html" TargetMode="External"/><Relationship Id="rId10" Type="http://schemas.openxmlformats.org/officeDocument/2006/relationships/vmlDrawing" Target="../drawings/vmlDrawing4.vml"/><Relationship Id="rId4" Type="http://schemas.openxmlformats.org/officeDocument/2006/relationships/hyperlink" Target="https://arstechnica.com/science/2018/02/three-years-of-sls-development-could-buy-86-falcon-heavy-launches/" TargetMode="External"/><Relationship Id="rId9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theengineeringmindset.com/density-of-metals/" TargetMode="External"/><Relationship Id="rId2" Type="http://schemas.openxmlformats.org/officeDocument/2006/relationships/hyperlink" Target="https://theengineeringmindset.com/density-of-metals/" TargetMode="External"/><Relationship Id="rId1" Type="http://schemas.openxmlformats.org/officeDocument/2006/relationships/hyperlink" Target="http://www.psrd.hawaii.edu/CosmoSparks/July12/Lunar-rock-densities.html" TargetMode="External"/><Relationship Id="rId6" Type="http://schemas.openxmlformats.org/officeDocument/2006/relationships/hyperlink" Target="https://www.ptonline.com/articles/injection-molding-" TargetMode="External"/><Relationship Id="rId5" Type="http://schemas.openxmlformats.org/officeDocument/2006/relationships/hyperlink" Target="https://electroheatinduction.com/how-to-calculate-electricity-cost-for-melting-metal-in-induction-melting-furnace/" TargetMode="External"/><Relationship Id="rId4" Type="http://schemas.openxmlformats.org/officeDocument/2006/relationships/hyperlink" Target="https://omnexus.specialchem.com/polymer-properties/properties/density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.bin"/><Relationship Id="rId13" Type="http://schemas.openxmlformats.org/officeDocument/2006/relationships/ctrlProp" Target="../ctrlProps/ctrlProp15.xml"/><Relationship Id="rId3" Type="http://schemas.openxmlformats.org/officeDocument/2006/relationships/hyperlink" Target="https://arstechnica.com/science/2018/02/three-years-of-sls-development-could-buy-86-falcon-heavy-launches/" TargetMode="External"/><Relationship Id="rId7" Type="http://schemas.openxmlformats.org/officeDocument/2006/relationships/hyperlink" Target="https://en.wikipedia.org/wiki/Great_Pyramid_of_Giza" TargetMode="External"/><Relationship Id="rId12" Type="http://schemas.openxmlformats.org/officeDocument/2006/relationships/ctrlProp" Target="../ctrlProps/ctrlProp14.xml"/><Relationship Id="rId2" Type="http://schemas.openxmlformats.org/officeDocument/2006/relationships/hyperlink" Target="https://www.nasa.gov/mission_pages/station/structure/elements/solar_arrays-about.html" TargetMode="External"/><Relationship Id="rId1" Type="http://schemas.openxmlformats.org/officeDocument/2006/relationships/hyperlink" Target="https://www.solarenspace.com/solaren-space-solar/ssp-overview/" TargetMode="External"/><Relationship Id="rId6" Type="http://schemas.openxmlformats.org/officeDocument/2006/relationships/hyperlink" Target="https://en.wikipedia.org/wiki/Human_body_weight" TargetMode="External"/><Relationship Id="rId11" Type="http://schemas.openxmlformats.org/officeDocument/2006/relationships/ctrlProp" Target="../ctrlProps/ctrlProp13.xml"/><Relationship Id="rId5" Type="http://schemas.openxmlformats.org/officeDocument/2006/relationships/hyperlink" Target="https://www.space.com/18135-how-big-is-the-moon.html" TargetMode="External"/><Relationship Id="rId10" Type="http://schemas.openxmlformats.org/officeDocument/2006/relationships/vmlDrawing" Target="../drawings/vmlDrawing5.vml"/><Relationship Id="rId4" Type="http://schemas.openxmlformats.org/officeDocument/2006/relationships/hyperlink" Target="https://arstechnica.com/science/2018/02/three-years-of-sls-development-could-buy-86-falcon-heavy-launches/" TargetMode="External"/><Relationship Id="rId9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engineeringmindset.com/density-of-metals/" TargetMode="External"/><Relationship Id="rId2" Type="http://schemas.openxmlformats.org/officeDocument/2006/relationships/hyperlink" Target="https://theengineeringmindset.com/density-of-metals/" TargetMode="External"/><Relationship Id="rId1" Type="http://schemas.openxmlformats.org/officeDocument/2006/relationships/hyperlink" Target="http://www.psrd.hawaii.edu/CosmoSparks/July12/Lunar-rock-densities.html" TargetMode="External"/><Relationship Id="rId6" Type="http://schemas.openxmlformats.org/officeDocument/2006/relationships/hyperlink" Target="https://www.ptonline.com/articles/injection-molding-" TargetMode="External"/><Relationship Id="rId5" Type="http://schemas.openxmlformats.org/officeDocument/2006/relationships/hyperlink" Target="https://electroheatinduction.com/how-to-calculate-electricity-cost-for-melting-metal-in-induction-melting-furnace/" TargetMode="External"/><Relationship Id="rId4" Type="http://schemas.openxmlformats.org/officeDocument/2006/relationships/hyperlink" Target="https://omnexus.specialchem.com/polymer-properties/properties/density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3" Type="http://schemas.openxmlformats.org/officeDocument/2006/relationships/hyperlink" Target="https://arstechnica.com/science/2018/02/three-years-of-sls-development-could-buy-86-falcon-heavy-launches/" TargetMode="External"/><Relationship Id="rId7" Type="http://schemas.openxmlformats.org/officeDocument/2006/relationships/vmlDrawing" Target="../drawings/vmlDrawing6.vml"/><Relationship Id="rId2" Type="http://schemas.openxmlformats.org/officeDocument/2006/relationships/hyperlink" Target="https://www.nasa.gov/mission_pages/station/structure/elements/solar_arrays-about.html" TargetMode="External"/><Relationship Id="rId1" Type="http://schemas.openxmlformats.org/officeDocument/2006/relationships/hyperlink" Target="https://www.solarenspace.com/solaren-space-solar/ssp-overview/" TargetMode="External"/><Relationship Id="rId6" Type="http://schemas.openxmlformats.org/officeDocument/2006/relationships/drawing" Target="../drawings/drawing14.xml"/><Relationship Id="rId5" Type="http://schemas.openxmlformats.org/officeDocument/2006/relationships/printerSettings" Target="../printerSettings/printerSettings7.bin"/><Relationship Id="rId10" Type="http://schemas.openxmlformats.org/officeDocument/2006/relationships/ctrlProp" Target="../ctrlProps/ctrlProp18.xml"/><Relationship Id="rId4" Type="http://schemas.openxmlformats.org/officeDocument/2006/relationships/hyperlink" Target="https://arstechnica.com/science/2018/02/three-years-of-sls-development-could-buy-86-falcon-heavy-launches/" TargetMode="External"/><Relationship Id="rId9" Type="http://schemas.openxmlformats.org/officeDocument/2006/relationships/ctrlProp" Target="../ctrlProps/ctrlProp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747D-0527-4DDC-8743-E0AF61483E70}">
  <dimension ref="A2:I91"/>
  <sheetViews>
    <sheetView showGridLines="0" workbookViewId="0">
      <selection activeCell="D66" sqref="D66"/>
    </sheetView>
  </sheetViews>
  <sheetFormatPr defaultColWidth="9.109375" defaultRowHeight="14.4" x14ac:dyDescent="0.3"/>
  <cols>
    <col min="1" max="1" width="40.5546875" style="2" bestFit="1" customWidth="1"/>
    <col min="2" max="2" width="6.6640625" style="2" hidden="1" customWidth="1"/>
    <col min="3" max="3" width="9.109375" style="5" bestFit="1" customWidth="1"/>
    <col min="4" max="6" width="18.5546875" style="4" customWidth="1"/>
    <col min="7" max="7" width="6.44140625" style="3" customWidth="1"/>
    <col min="8" max="8" width="62.33203125" style="2" customWidth="1"/>
    <col min="9" max="9" width="49.6640625" style="2" customWidth="1"/>
    <col min="10" max="10" width="9.109375" style="1"/>
    <col min="11" max="11" width="6.6640625" style="1" bestFit="1" customWidth="1"/>
    <col min="12" max="12" width="17.33203125" style="1" bestFit="1" customWidth="1"/>
    <col min="13" max="16384" width="9.109375" style="1"/>
  </cols>
  <sheetData>
    <row r="2" spans="1:9" ht="21" x14ac:dyDescent="0.3">
      <c r="A2" s="70" t="s">
        <v>89</v>
      </c>
      <c r="B2" s="10"/>
      <c r="H2" s="7"/>
    </row>
    <row r="3" spans="1:9" ht="18" x14ac:dyDescent="0.3">
      <c r="A3" s="10"/>
      <c r="B3" s="10"/>
      <c r="H3" s="7"/>
    </row>
    <row r="4" spans="1:9" x14ac:dyDescent="0.3">
      <c r="A4" s="44"/>
      <c r="B4" s="25"/>
      <c r="C4" s="52" t="s">
        <v>88</v>
      </c>
      <c r="D4" s="80" t="s">
        <v>87</v>
      </c>
      <c r="E4" s="80" t="s">
        <v>86</v>
      </c>
      <c r="F4" s="80" t="s">
        <v>85</v>
      </c>
      <c r="G4" s="81" t="s">
        <v>84</v>
      </c>
      <c r="H4" s="45" t="s">
        <v>111</v>
      </c>
      <c r="I4" s="45" t="s">
        <v>104</v>
      </c>
    </row>
    <row r="5" spans="1:9" ht="28.8" x14ac:dyDescent="0.3">
      <c r="A5" s="75" t="s">
        <v>82</v>
      </c>
      <c r="B5" s="75" t="s">
        <v>81</v>
      </c>
      <c r="C5" s="76" t="s">
        <v>0</v>
      </c>
      <c r="D5" s="77">
        <v>100</v>
      </c>
      <c r="E5" s="77">
        <v>1000</v>
      </c>
      <c r="F5" s="77">
        <v>10000</v>
      </c>
      <c r="G5" s="78">
        <v>73</v>
      </c>
      <c r="H5" s="79" t="s">
        <v>106</v>
      </c>
      <c r="I5" s="79" t="s">
        <v>105</v>
      </c>
    </row>
    <row r="6" spans="1:9" ht="28.8" x14ac:dyDescent="0.3">
      <c r="A6" s="44" t="s">
        <v>80</v>
      </c>
      <c r="B6" s="44" t="s">
        <v>79</v>
      </c>
      <c r="C6" s="46" t="s">
        <v>0</v>
      </c>
      <c r="D6" s="27">
        <v>10</v>
      </c>
      <c r="E6" s="27">
        <v>100</v>
      </c>
      <c r="F6" s="27">
        <v>1000</v>
      </c>
      <c r="G6" s="24"/>
      <c r="H6" s="25" t="s">
        <v>78</v>
      </c>
      <c r="I6" s="25"/>
    </row>
    <row r="7" spans="1:9" x14ac:dyDescent="0.3">
      <c r="A7" s="44" t="s">
        <v>77</v>
      </c>
      <c r="B7" s="44" t="s">
        <v>76</v>
      </c>
      <c r="C7" s="46" t="s">
        <v>0</v>
      </c>
      <c r="D7" s="27">
        <f>SUM(D5-(2*D6))</f>
        <v>80</v>
      </c>
      <c r="E7" s="27">
        <f>SUM(E5-(2*E6))</f>
        <v>800</v>
      </c>
      <c r="F7" s="27">
        <f t="shared" ref="F7" si="0">SUM(F5-(2*F6))</f>
        <v>8000</v>
      </c>
      <c r="G7" s="47"/>
      <c r="H7" s="25"/>
      <c r="I7" s="25"/>
    </row>
    <row r="8" spans="1:9" x14ac:dyDescent="0.3">
      <c r="A8" s="44" t="s">
        <v>75</v>
      </c>
      <c r="B8" s="44" t="s">
        <v>74</v>
      </c>
      <c r="C8" s="46" t="s">
        <v>0</v>
      </c>
      <c r="D8" s="48">
        <v>0.02</v>
      </c>
      <c r="E8" s="48">
        <v>0.5</v>
      </c>
      <c r="F8" s="27">
        <v>10</v>
      </c>
      <c r="G8" s="47"/>
      <c r="H8" s="25"/>
      <c r="I8" s="25"/>
    </row>
    <row r="9" spans="1:9" x14ac:dyDescent="0.3">
      <c r="A9" s="44" t="s">
        <v>122</v>
      </c>
      <c r="B9" s="44"/>
      <c r="C9" s="46" t="s">
        <v>3</v>
      </c>
      <c r="D9" s="28">
        <f t="shared" ref="D9:F9" si="1">SUM(3.1416/4*((D5*D5)-((D5-(2*D8))*(D5-(2*D8)))))</f>
        <v>6.2819433600003149</v>
      </c>
      <c r="E9" s="28">
        <f t="shared" si="1"/>
        <v>1570.0146</v>
      </c>
      <c r="F9" s="28">
        <f t="shared" si="1"/>
        <v>313845.83999999997</v>
      </c>
      <c r="G9" s="47"/>
      <c r="H9" s="25" t="s">
        <v>127</v>
      </c>
      <c r="I9" s="25"/>
    </row>
    <row r="10" spans="1:9" ht="28.8" x14ac:dyDescent="0.3">
      <c r="A10" s="44" t="s">
        <v>153</v>
      </c>
      <c r="B10" s="44"/>
      <c r="C10" s="46" t="s">
        <v>3</v>
      </c>
      <c r="D10" s="28">
        <f>(D5-(D8*2))*D8</f>
        <v>1.9991999999999999</v>
      </c>
      <c r="E10" s="28">
        <f>(E5-(E8*2))*E8</f>
        <v>499.5</v>
      </c>
      <c r="F10" s="28">
        <f>(F5-(F8*2))*F8</f>
        <v>99800</v>
      </c>
      <c r="G10" s="47"/>
      <c r="H10" s="25" t="s">
        <v>128</v>
      </c>
      <c r="I10" s="25"/>
    </row>
    <row r="11" spans="1:9" ht="28.8" x14ac:dyDescent="0.3">
      <c r="A11" s="44" t="s">
        <v>134</v>
      </c>
      <c r="B11" s="44"/>
      <c r="C11" s="46" t="s">
        <v>9</v>
      </c>
      <c r="D11" s="23">
        <v>2</v>
      </c>
      <c r="E11" s="23">
        <v>2</v>
      </c>
      <c r="F11" s="23">
        <v>40</v>
      </c>
      <c r="G11" s="47"/>
      <c r="H11" s="25" t="s">
        <v>135</v>
      </c>
      <c r="I11" s="25"/>
    </row>
    <row r="12" spans="1:9" ht="28.8" x14ac:dyDescent="0.3">
      <c r="A12" s="44" t="s">
        <v>136</v>
      </c>
      <c r="B12" s="44"/>
      <c r="C12" s="46" t="s">
        <v>3</v>
      </c>
      <c r="D12" s="28">
        <f>D9+D10+(D10*D11)</f>
        <v>12.279543360000314</v>
      </c>
      <c r="E12" s="28">
        <f>E9+E10+(E10*E11)</f>
        <v>3068.5146</v>
      </c>
      <c r="F12" s="28">
        <f>F9+F10+(F10*F11)</f>
        <v>4405645.84</v>
      </c>
      <c r="G12" s="47"/>
      <c r="H12" s="25" t="s">
        <v>143</v>
      </c>
      <c r="I12" s="25"/>
    </row>
    <row r="13" spans="1:9" x14ac:dyDescent="0.3">
      <c r="A13" s="44" t="s">
        <v>73</v>
      </c>
      <c r="B13" s="44" t="s">
        <v>72</v>
      </c>
      <c r="C13" s="46" t="s">
        <v>58</v>
      </c>
      <c r="D13" s="28">
        <f>SUM(3.1416*3.1416)*(D5/2+D7/2)*(D5/2-D7/2)*(D5/2-D7/2)/4</f>
        <v>22206.713759999999</v>
      </c>
      <c r="E13" s="28">
        <f>SUM(3.1416*3.1416)*(E5/2+E7/2)*(E5/2-E7/2)*(E5/2-E7/2)/4</f>
        <v>22206713.760000002</v>
      </c>
      <c r="F13" s="28">
        <f>SUM(3.1416*3.1416)*(F5/2+F7/2)*(F5/2-F7/2)*(F5/2-F7/2)/4</f>
        <v>22206713759.999996</v>
      </c>
      <c r="G13" s="24"/>
      <c r="H13" s="25"/>
      <c r="I13" s="25"/>
    </row>
    <row r="14" spans="1:9" x14ac:dyDescent="0.3">
      <c r="A14" s="44" t="s">
        <v>71</v>
      </c>
      <c r="B14" s="44"/>
      <c r="C14" s="46" t="s">
        <v>0</v>
      </c>
      <c r="D14" s="49">
        <f>D5-(D8*2)</f>
        <v>99.96</v>
      </c>
      <c r="E14" s="49">
        <f>E5-(E8*2)</f>
        <v>999</v>
      </c>
      <c r="F14" s="49">
        <f>F5-(F8*2)</f>
        <v>9980</v>
      </c>
      <c r="G14" s="24"/>
      <c r="H14" s="25"/>
      <c r="I14" s="25"/>
    </row>
    <row r="15" spans="1:9" x14ac:dyDescent="0.3">
      <c r="A15" s="44" t="s">
        <v>70</v>
      </c>
      <c r="B15" s="44"/>
      <c r="C15" s="46" t="s">
        <v>0</v>
      </c>
      <c r="D15" s="49">
        <f>D7+(D8*2)</f>
        <v>80.040000000000006</v>
      </c>
      <c r="E15" s="49">
        <f>E7+(E8*2)</f>
        <v>801</v>
      </c>
      <c r="F15" s="49">
        <f>F7+(F8*2)</f>
        <v>8020</v>
      </c>
      <c r="G15" s="24"/>
      <c r="H15" s="25"/>
      <c r="I15" s="25"/>
    </row>
    <row r="16" spans="1:9" x14ac:dyDescent="0.3">
      <c r="A16" s="44" t="s">
        <v>69</v>
      </c>
      <c r="B16" s="44"/>
      <c r="C16" s="46" t="s">
        <v>58</v>
      </c>
      <c r="D16" s="28">
        <f>SUM(3.1416*3.1416)*(D14/2+D15/2)*(D14/2-D15/2)*(D14/2-D15/2)/4</f>
        <v>22029.415357340135</v>
      </c>
      <c r="E16" s="28">
        <f t="shared" ref="E16:F16" si="2">SUM(3.1416*3.1416)*(E14/2+E15/2)*(E14/2-E15/2)*(E14/2-E15/2)/4</f>
        <v>21764800.156176005</v>
      </c>
      <c r="F16" s="28">
        <f t="shared" si="2"/>
        <v>21327327895.104</v>
      </c>
      <c r="G16" s="50"/>
      <c r="H16" s="25" t="s">
        <v>68</v>
      </c>
      <c r="I16" s="25"/>
    </row>
    <row r="17" spans="1:9" x14ac:dyDescent="0.3">
      <c r="A17" s="44" t="s">
        <v>67</v>
      </c>
      <c r="B17" s="45"/>
      <c r="C17" s="46" t="s">
        <v>58</v>
      </c>
      <c r="D17" s="28">
        <f>SUM(D13-D16)</f>
        <v>177.29840265986422</v>
      </c>
      <c r="E17" s="28">
        <f>SUM(E13-E16)</f>
        <v>441913.60382399708</v>
      </c>
      <c r="F17" s="28">
        <f>SUM(F13-F16)</f>
        <v>879385864.89599609</v>
      </c>
      <c r="G17" s="24"/>
      <c r="H17" s="25"/>
      <c r="I17" s="25"/>
    </row>
    <row r="18" spans="1:9" ht="28.8" x14ac:dyDescent="0.3">
      <c r="A18" s="44" t="s">
        <v>66</v>
      </c>
      <c r="B18" s="44"/>
      <c r="C18" s="46" t="s">
        <v>58</v>
      </c>
      <c r="D18" s="28">
        <f>(3.1416*D8*D14*(D6-2*D8))</f>
        <v>62.555639731199996</v>
      </c>
      <c r="E18" s="28">
        <f>(3.1416*E8*E14*(E6-2*E8))</f>
        <v>155353.69080000001</v>
      </c>
      <c r="F18" s="28">
        <f>(3.1416*F8*F14*(F6-2*F8))</f>
        <v>307261046.39999998</v>
      </c>
      <c r="G18" s="24"/>
      <c r="H18" s="25" t="s">
        <v>65</v>
      </c>
      <c r="I18" s="25"/>
    </row>
    <row r="19" spans="1:9" x14ac:dyDescent="0.3">
      <c r="A19" s="44" t="s">
        <v>63</v>
      </c>
      <c r="B19" s="45"/>
      <c r="C19" s="46" t="s">
        <v>58</v>
      </c>
      <c r="D19" s="28">
        <f>SUM(D11*D18)+D18</f>
        <v>187.66691919359999</v>
      </c>
      <c r="E19" s="28">
        <f>SUM(E11*E18)+E18</f>
        <v>466061.07240000006</v>
      </c>
      <c r="F19" s="28">
        <f>SUM(F11*F18)+F18</f>
        <v>12597702902.4</v>
      </c>
      <c r="G19" s="24"/>
      <c r="H19" s="25"/>
      <c r="I19" s="25"/>
    </row>
    <row r="20" spans="1:9" hidden="1" x14ac:dyDescent="0.3">
      <c r="A20" s="45" t="s">
        <v>62</v>
      </c>
      <c r="B20" s="45"/>
      <c r="C20" s="52" t="s">
        <v>58</v>
      </c>
      <c r="D20" s="26">
        <f>D16-D19</f>
        <v>21841.748438146533</v>
      </c>
      <c r="E20" s="26">
        <f t="shared" ref="E20:F20" si="3">E16-E19</f>
        <v>21298739.083776005</v>
      </c>
      <c r="F20" s="26">
        <f t="shared" si="3"/>
        <v>8729624992.7040005</v>
      </c>
      <c r="G20" s="69">
        <v>932</v>
      </c>
      <c r="H20" s="25"/>
      <c r="I20" s="25" t="s">
        <v>49</v>
      </c>
    </row>
    <row r="21" spans="1:9" x14ac:dyDescent="0.3">
      <c r="A21" s="45" t="s">
        <v>62</v>
      </c>
      <c r="B21" s="45"/>
      <c r="C21" s="52" t="s">
        <v>167</v>
      </c>
      <c r="D21" s="26">
        <f>D20/1000000000</f>
        <v>2.1841748438146534E-5</v>
      </c>
      <c r="E21" s="26">
        <f t="shared" ref="E21:F21" si="4">E20/1000000000</f>
        <v>2.1298739083776004E-2</v>
      </c>
      <c r="F21" s="26">
        <f t="shared" si="4"/>
        <v>8.7296249927040002</v>
      </c>
      <c r="G21" s="69"/>
      <c r="H21" s="25"/>
      <c r="I21" s="25"/>
    </row>
    <row r="22" spans="1:9" hidden="1" x14ac:dyDescent="0.3">
      <c r="A22" s="45" t="s">
        <v>61</v>
      </c>
      <c r="B22" s="45"/>
      <c r="C22" s="52" t="s">
        <v>58</v>
      </c>
      <c r="D22" s="26">
        <f>D17+D19</f>
        <v>364.96532185346422</v>
      </c>
      <c r="E22" s="26">
        <f>E17+E19</f>
        <v>907974.67622399714</v>
      </c>
      <c r="F22" s="26">
        <f>F17+F19</f>
        <v>13477088767.295996</v>
      </c>
      <c r="G22" s="24"/>
      <c r="H22" s="25"/>
      <c r="I22" s="25"/>
    </row>
    <row r="23" spans="1:9" x14ac:dyDescent="0.3">
      <c r="A23" s="45" t="s">
        <v>61</v>
      </c>
      <c r="B23" s="45"/>
      <c r="C23" s="52" t="s">
        <v>167</v>
      </c>
      <c r="D23" s="26">
        <f>D22/1000000000</f>
        <v>3.6496532185346424E-7</v>
      </c>
      <c r="E23" s="26">
        <f t="shared" ref="E23:F23" si="5">E22/1000000000</f>
        <v>9.0797467622399713E-4</v>
      </c>
      <c r="F23" s="26">
        <f t="shared" si="5"/>
        <v>13.477088767295996</v>
      </c>
      <c r="G23" s="24"/>
      <c r="H23" s="25"/>
      <c r="I23" s="25"/>
    </row>
    <row r="24" spans="1:9" x14ac:dyDescent="0.3">
      <c r="A24" s="44" t="s">
        <v>60</v>
      </c>
      <c r="B24" s="44"/>
      <c r="C24" s="46"/>
      <c r="D24" s="88">
        <v>50</v>
      </c>
      <c r="E24" s="88">
        <v>10000</v>
      </c>
      <c r="F24" s="88">
        <v>100000000</v>
      </c>
      <c r="G24" s="69">
        <v>6</v>
      </c>
      <c r="H24" s="25"/>
      <c r="I24" s="25"/>
    </row>
    <row r="25" spans="1:9" hidden="1" x14ac:dyDescent="0.3">
      <c r="A25" s="45" t="s">
        <v>154</v>
      </c>
      <c r="B25" s="45"/>
      <c r="C25" s="52" t="s">
        <v>3</v>
      </c>
      <c r="D25" s="26">
        <f>3.1416*2*(D5-D7)*D6</f>
        <v>1256.6400000000001</v>
      </c>
      <c r="E25" s="26">
        <f>3.1416*2*(E5-E7)*E6</f>
        <v>125663.99999999999</v>
      </c>
      <c r="F25" s="26">
        <f>3.1416*2*(F5-F7)*F6</f>
        <v>12566400</v>
      </c>
      <c r="G25" s="69"/>
      <c r="H25" s="25"/>
      <c r="I25" s="25"/>
    </row>
    <row r="26" spans="1:9" x14ac:dyDescent="0.3">
      <c r="A26" s="45" t="s">
        <v>154</v>
      </c>
      <c r="B26" s="45"/>
      <c r="C26" s="52" t="s">
        <v>166</v>
      </c>
      <c r="D26" s="26">
        <f>D25/1000000</f>
        <v>1.2566400000000001E-3</v>
      </c>
      <c r="E26" s="26">
        <f t="shared" ref="E26:F26" si="6">E25/1000000</f>
        <v>0.125664</v>
      </c>
      <c r="F26" s="26">
        <f t="shared" si="6"/>
        <v>12.5664</v>
      </c>
      <c r="G26" s="69"/>
      <c r="H26" s="25"/>
      <c r="I26" s="25"/>
    </row>
    <row r="27" spans="1:9" x14ac:dyDescent="0.3">
      <c r="A27" s="45" t="s">
        <v>59</v>
      </c>
      <c r="B27" s="45"/>
      <c r="C27" s="52" t="s">
        <v>58</v>
      </c>
      <c r="D27" s="26">
        <f>D20/D24/2</f>
        <v>218.41748438146533</v>
      </c>
      <c r="E27" s="26">
        <f t="shared" ref="E27:F27" si="7">E20/E24/2</f>
        <v>1064.9369541888002</v>
      </c>
      <c r="F27" s="26">
        <f t="shared" si="7"/>
        <v>43.648124963520004</v>
      </c>
      <c r="G27" s="69">
        <f>SUM(G20/G24)</f>
        <v>155.33333333333334</v>
      </c>
      <c r="H27" s="25" t="s">
        <v>155</v>
      </c>
      <c r="I27" s="25"/>
    </row>
    <row r="28" spans="1:9" ht="28.8" x14ac:dyDescent="0.3">
      <c r="A28" s="45" t="s">
        <v>137</v>
      </c>
      <c r="B28" s="45"/>
      <c r="C28" s="52" t="s">
        <v>3</v>
      </c>
      <c r="D28" s="26">
        <f>D27/2.5</f>
        <v>87.366993752586126</v>
      </c>
      <c r="E28" s="26">
        <f t="shared" ref="E28:F28" si="8">E27/2.5</f>
        <v>425.97478167552009</v>
      </c>
      <c r="F28" s="26">
        <f t="shared" si="8"/>
        <v>17.459249985408</v>
      </c>
      <c r="G28" s="24"/>
      <c r="H28" s="25" t="s">
        <v>156</v>
      </c>
      <c r="I28" s="25"/>
    </row>
    <row r="29" spans="1:9" x14ac:dyDescent="0.3">
      <c r="A29" s="45" t="s">
        <v>157</v>
      </c>
      <c r="B29" s="45"/>
      <c r="C29" s="52" t="s">
        <v>158</v>
      </c>
      <c r="D29" s="26">
        <f>SUM(D24*62)/1000</f>
        <v>3.1</v>
      </c>
      <c r="E29" s="26">
        <f t="shared" ref="E29:F29" si="9">SUM(E24*62)/1000</f>
        <v>620</v>
      </c>
      <c r="F29" s="26">
        <f t="shared" si="9"/>
        <v>6200000</v>
      </c>
      <c r="G29" s="24"/>
      <c r="H29" s="25" t="s">
        <v>160</v>
      </c>
      <c r="I29" s="25" t="s">
        <v>159</v>
      </c>
    </row>
    <row r="30" spans="1:9" x14ac:dyDescent="0.3">
      <c r="D30" s="85"/>
    </row>
    <row r="31" spans="1:9" ht="21" x14ac:dyDescent="0.3">
      <c r="A31" s="70" t="s">
        <v>45</v>
      </c>
      <c r="B31" s="10"/>
    </row>
    <row r="33" spans="1:9" ht="43.2" x14ac:dyDescent="0.3">
      <c r="A33" s="44" t="s">
        <v>44</v>
      </c>
      <c r="B33" s="44"/>
      <c r="C33" s="46" t="s">
        <v>43</v>
      </c>
      <c r="D33" s="36">
        <v>0.5</v>
      </c>
      <c r="E33" s="36">
        <v>1</v>
      </c>
      <c r="F33" s="36">
        <v>8</v>
      </c>
      <c r="G33" s="24"/>
      <c r="H33" s="25" t="s">
        <v>144</v>
      </c>
      <c r="I33" s="25"/>
    </row>
    <row r="34" spans="1:9" x14ac:dyDescent="0.3">
      <c r="A34" s="44" t="s">
        <v>41</v>
      </c>
      <c r="B34" s="44"/>
      <c r="C34" s="46" t="s">
        <v>38</v>
      </c>
      <c r="D34" s="27">
        <v>4</v>
      </c>
      <c r="E34" s="27">
        <v>100</v>
      </c>
      <c r="F34" s="27">
        <v>1000</v>
      </c>
      <c r="G34" s="24"/>
      <c r="H34" s="25"/>
      <c r="I34" s="25"/>
    </row>
    <row r="35" spans="1:9" x14ac:dyDescent="0.3">
      <c r="A35" s="44" t="s">
        <v>39</v>
      </c>
      <c r="B35" s="44"/>
      <c r="C35" s="46" t="s">
        <v>38</v>
      </c>
      <c r="D35" s="27">
        <v>2</v>
      </c>
      <c r="E35" s="27">
        <v>20</v>
      </c>
      <c r="F35" s="27">
        <v>250</v>
      </c>
      <c r="G35" s="24"/>
      <c r="H35" s="25"/>
      <c r="I35" s="25"/>
    </row>
    <row r="36" spans="1:9" x14ac:dyDescent="0.3">
      <c r="A36" s="44" t="s">
        <v>37</v>
      </c>
      <c r="B36" s="44"/>
      <c r="C36" s="46" t="s">
        <v>36</v>
      </c>
      <c r="D36" s="28">
        <f>SUM(D34*D33*D35)</f>
        <v>4</v>
      </c>
      <c r="E36" s="28">
        <f t="shared" ref="E36:F36" si="10">SUM(E34*E33*E35)</f>
        <v>2000</v>
      </c>
      <c r="F36" s="28">
        <f t="shared" si="10"/>
        <v>2000000</v>
      </c>
      <c r="G36" s="24"/>
      <c r="H36" s="25" t="s">
        <v>119</v>
      </c>
      <c r="I36" s="25"/>
    </row>
    <row r="37" spans="1:9" x14ac:dyDescent="0.3">
      <c r="A37" s="44" t="s">
        <v>35</v>
      </c>
      <c r="B37" s="44"/>
      <c r="C37" s="46" t="s">
        <v>34</v>
      </c>
      <c r="D37" s="29">
        <f>D33*60/(3.1416*D5)</f>
        <v>9.549274255156609E-2</v>
      </c>
      <c r="E37" s="29">
        <f>E33*60/(3.1416*E5)</f>
        <v>1.9098548510313215E-2</v>
      </c>
      <c r="F37" s="29">
        <f>F33*60/(3.1416*F5)</f>
        <v>1.5278838808250574E-2</v>
      </c>
      <c r="G37" s="30"/>
      <c r="H37" s="25" t="s">
        <v>33</v>
      </c>
      <c r="I37" s="25"/>
    </row>
    <row r="38" spans="1:9" x14ac:dyDescent="0.3">
      <c r="A38" s="44" t="s">
        <v>32</v>
      </c>
      <c r="B38" s="44"/>
      <c r="C38" s="46"/>
      <c r="D38" s="31">
        <f>D37*D37*1.118*0.001*(D5/2)</f>
        <v>5.0974449089310027E-4</v>
      </c>
      <c r="E38" s="31">
        <f>E37*E37*1.118*0.001*(E5/2)</f>
        <v>2.0389779635724003E-4</v>
      </c>
      <c r="F38" s="31">
        <f>F37*F37*1.118*0.001*(F5/2)</f>
        <v>1.3049458966863361E-3</v>
      </c>
      <c r="G38" s="30"/>
      <c r="H38" s="25" t="s">
        <v>139</v>
      </c>
      <c r="I38" s="25"/>
    </row>
    <row r="39" spans="1:9" ht="28.8" x14ac:dyDescent="0.3">
      <c r="A39" s="44" t="s">
        <v>130</v>
      </c>
      <c r="B39" s="44"/>
      <c r="C39" s="46"/>
      <c r="D39" s="32">
        <v>4</v>
      </c>
      <c r="E39" s="32">
        <v>16</v>
      </c>
      <c r="F39" s="32">
        <v>100</v>
      </c>
      <c r="G39" s="24"/>
      <c r="H39" s="25" t="s">
        <v>30</v>
      </c>
      <c r="I39" s="25"/>
    </row>
    <row r="40" spans="1:9" x14ac:dyDescent="0.3">
      <c r="A40" s="44" t="s">
        <v>29</v>
      </c>
      <c r="B40" s="44"/>
      <c r="C40" s="46" t="s">
        <v>27</v>
      </c>
      <c r="D40" s="82">
        <f>D41/D39</f>
        <v>1.082E-2</v>
      </c>
      <c r="E40" s="29">
        <f t="shared" ref="E40:F40" si="11">E41/E39</f>
        <v>5.68</v>
      </c>
      <c r="F40" s="53">
        <f t="shared" si="11"/>
        <v>5680</v>
      </c>
      <c r="G40" s="24"/>
      <c r="H40" s="25"/>
      <c r="I40" s="25"/>
    </row>
    <row r="41" spans="1:9" x14ac:dyDescent="0.3">
      <c r="A41" s="44" t="s">
        <v>28</v>
      </c>
      <c r="B41" s="44"/>
      <c r="C41" s="46" t="s">
        <v>27</v>
      </c>
      <c r="D41" s="82">
        <f>SUM(D36*D51*D39)/1000000</f>
        <v>4.3279999999999999E-2</v>
      </c>
      <c r="E41" s="53">
        <f>SUM(E36*E51*E39)/1000000</f>
        <v>90.88</v>
      </c>
      <c r="F41" s="53">
        <f>SUM(F36*F51*F39)/1000000</f>
        <v>568000</v>
      </c>
      <c r="G41" s="30"/>
      <c r="H41" s="25" t="s">
        <v>140</v>
      </c>
      <c r="I41" s="25"/>
    </row>
    <row r="42" spans="1:9" x14ac:dyDescent="0.3">
      <c r="A42" s="44" t="s">
        <v>28</v>
      </c>
      <c r="B42" s="44"/>
      <c r="C42" s="46" t="s">
        <v>168</v>
      </c>
      <c r="D42" s="28">
        <f>D41/1000</f>
        <v>4.3279999999999999E-5</v>
      </c>
      <c r="E42" s="28">
        <f t="shared" ref="E42:F42" si="12">E41/1000</f>
        <v>9.0879999999999989E-2</v>
      </c>
      <c r="F42" s="28">
        <f t="shared" si="12"/>
        <v>568</v>
      </c>
      <c r="G42" s="30"/>
      <c r="H42" s="25"/>
      <c r="I42" s="25"/>
    </row>
    <row r="43" spans="1:9" x14ac:dyDescent="0.3">
      <c r="A43" s="44" t="s">
        <v>26</v>
      </c>
      <c r="B43" s="44"/>
      <c r="C43" s="46" t="s">
        <v>9</v>
      </c>
      <c r="D43" s="23">
        <v>0.9</v>
      </c>
      <c r="E43" s="23">
        <v>0.9</v>
      </c>
      <c r="F43" s="23">
        <v>0.9</v>
      </c>
      <c r="G43" s="30"/>
      <c r="H43" s="25" t="s">
        <v>25</v>
      </c>
      <c r="I43" s="25"/>
    </row>
    <row r="44" spans="1:9" ht="28.8" x14ac:dyDescent="0.3">
      <c r="A44" s="45" t="s">
        <v>120</v>
      </c>
      <c r="B44" s="45"/>
      <c r="C44" s="90" t="s">
        <v>121</v>
      </c>
      <c r="D44" s="66">
        <f t="shared" ref="D44:E44" si="13">D12/(D34*D35/1000)/1000</f>
        <v>1.5349429200000393</v>
      </c>
      <c r="E44" s="66">
        <f t="shared" si="13"/>
        <v>1.5342572999999999</v>
      </c>
      <c r="F44" s="66">
        <f>F12/(F34*F35/1000)/1000</f>
        <v>17.62258336</v>
      </c>
      <c r="G44" s="30"/>
      <c r="H44" s="25" t="s">
        <v>141</v>
      </c>
      <c r="I44" s="25"/>
    </row>
    <row r="45" spans="1:9" x14ac:dyDescent="0.3">
      <c r="A45" s="44" t="s">
        <v>23</v>
      </c>
      <c r="B45" s="44"/>
      <c r="C45" s="46" t="s">
        <v>24</v>
      </c>
      <c r="D45" s="28">
        <f>((D44*1000)/D37)/60/24/D39/D43*1000</f>
        <v>3100.6794479630421</v>
      </c>
      <c r="E45" s="28">
        <f t="shared" ref="E45:F45" si="14">((E44*1000)/E37)/60/24/E39/E43*1000</f>
        <v>3874.118066550926</v>
      </c>
      <c r="F45" s="28">
        <f t="shared" si="14"/>
        <v>8899.6765502469116</v>
      </c>
      <c r="G45" s="30"/>
      <c r="H45" s="1" t="s">
        <v>142</v>
      </c>
      <c r="I45" s="25"/>
    </row>
    <row r="46" spans="1:9" x14ac:dyDescent="0.3">
      <c r="A46" s="45" t="s">
        <v>23</v>
      </c>
      <c r="B46" s="45"/>
      <c r="C46" s="52" t="s">
        <v>22</v>
      </c>
      <c r="D46" s="37">
        <f>SUM(D45)/365</f>
        <v>8.4950121862001158</v>
      </c>
      <c r="E46" s="37">
        <f t="shared" ref="E46:F46" si="15">SUM(E45)/365</f>
        <v>10.614022100139524</v>
      </c>
      <c r="F46" s="37">
        <f t="shared" si="15"/>
        <v>24.382675480128526</v>
      </c>
      <c r="G46" s="30"/>
      <c r="H46" s="25"/>
      <c r="I46" s="25"/>
    </row>
    <row r="47" spans="1:9" x14ac:dyDescent="0.3">
      <c r="A47" s="86"/>
      <c r="B47" s="86"/>
      <c r="C47" s="86"/>
      <c r="D47" s="86"/>
      <c r="E47" s="86"/>
      <c r="F47" s="86"/>
      <c r="G47" s="86"/>
    </row>
    <row r="48" spans="1:9" ht="21" x14ac:dyDescent="0.3">
      <c r="A48" s="70" t="s">
        <v>124</v>
      </c>
      <c r="B48" s="10"/>
    </row>
    <row r="50" spans="1:9" x14ac:dyDescent="0.3">
      <c r="A50" s="44" t="s">
        <v>56</v>
      </c>
      <c r="B50" s="44"/>
      <c r="C50" s="46"/>
      <c r="D50" s="27"/>
      <c r="E50" s="27"/>
      <c r="F50" s="27"/>
      <c r="G50" s="24"/>
      <c r="H50" s="25"/>
      <c r="I50" s="25"/>
    </row>
    <row r="51" spans="1:9" x14ac:dyDescent="0.3">
      <c r="A51" s="44" t="s">
        <v>55</v>
      </c>
      <c r="B51" s="44"/>
      <c r="C51" s="46" t="s">
        <v>54</v>
      </c>
      <c r="D51" s="71">
        <f>'Materials Properties'!E23</f>
        <v>2705</v>
      </c>
      <c r="E51" s="71">
        <f>'Materials Properties'!F23</f>
        <v>2840</v>
      </c>
      <c r="F51" s="71">
        <f>'Materials Properties'!G23</f>
        <v>2840</v>
      </c>
      <c r="G51" s="24"/>
      <c r="H51" s="25" t="s">
        <v>53</v>
      </c>
      <c r="I51" s="25"/>
    </row>
    <row r="52" spans="1:9" x14ac:dyDescent="0.3">
      <c r="A52" s="44" t="s">
        <v>52</v>
      </c>
      <c r="B52" s="44"/>
      <c r="C52" s="46" t="s">
        <v>9</v>
      </c>
      <c r="D52" s="23">
        <v>0.5</v>
      </c>
      <c r="E52" s="23">
        <v>1</v>
      </c>
      <c r="F52" s="23">
        <v>0.5</v>
      </c>
      <c r="G52" s="24"/>
      <c r="H52" s="25"/>
      <c r="I52" s="25"/>
    </row>
    <row r="53" spans="1:9" x14ac:dyDescent="0.3">
      <c r="A53" s="45" t="s">
        <v>51</v>
      </c>
      <c r="B53" s="45"/>
      <c r="C53" s="52" t="s">
        <v>172</v>
      </c>
      <c r="D53" s="26">
        <f>SUM(D22)*D51/1000*D52</f>
        <v>493.61559780681034</v>
      </c>
      <c r="E53" s="26">
        <f>SUM(E22)*E51/1000*E52</f>
        <v>2578648.0804761518</v>
      </c>
      <c r="F53" s="26">
        <f>SUM(F22)*F51/1000*F52</f>
        <v>19137466049.560314</v>
      </c>
      <c r="G53" s="69">
        <v>420</v>
      </c>
      <c r="H53" s="25"/>
      <c r="I53" s="25" t="s">
        <v>49</v>
      </c>
    </row>
    <row r="54" spans="1:9" ht="57.6" x14ac:dyDescent="0.3">
      <c r="A54" s="45" t="s">
        <v>152</v>
      </c>
      <c r="B54" s="45"/>
      <c r="C54" s="52" t="s">
        <v>9</v>
      </c>
      <c r="D54" s="89">
        <f>D53/POWER(7.33,22)</f>
        <v>4.5824890138610897E-17</v>
      </c>
      <c r="E54" s="89">
        <f t="shared" ref="E54:F54" si="16">E53/POWER(7.33,22)</f>
        <v>2.3938924442214859E-13</v>
      </c>
      <c r="F54" s="89">
        <f t="shared" si="16"/>
        <v>1.7766299994347499E-9</v>
      </c>
      <c r="G54" s="24"/>
      <c r="H54" s="25" t="s">
        <v>161</v>
      </c>
      <c r="I54" s="65" t="s">
        <v>151</v>
      </c>
    </row>
    <row r="55" spans="1:9" ht="57.6" x14ac:dyDescent="0.3">
      <c r="A55" s="45" t="s">
        <v>115</v>
      </c>
      <c r="B55" s="45"/>
      <c r="C55" s="52" t="s">
        <v>171</v>
      </c>
      <c r="D55" s="66">
        <f>D53/D45</f>
        <v>0.15919594595019676</v>
      </c>
      <c r="E55" s="66">
        <f>E53/E45</f>
        <v>665.60905893399547</v>
      </c>
      <c r="F55" s="66">
        <f>F53/F45</f>
        <v>2150355.2338685123</v>
      </c>
      <c r="G55" s="24"/>
      <c r="H55" s="25" t="s">
        <v>163</v>
      </c>
      <c r="I55" s="65" t="s">
        <v>164</v>
      </c>
    </row>
    <row r="56" spans="1:9" ht="28.8" x14ac:dyDescent="0.3">
      <c r="A56" s="45" t="s">
        <v>48</v>
      </c>
      <c r="B56" s="45"/>
      <c r="C56" s="52"/>
      <c r="D56" s="26">
        <f>SUM(D53/64)</f>
        <v>7.7127437157314116</v>
      </c>
      <c r="E56" s="26">
        <f t="shared" ref="E56:F56" si="17">SUM(E53/64)</f>
        <v>40291.376257439872</v>
      </c>
      <c r="F56" s="26">
        <f t="shared" si="17"/>
        <v>299022907.02437991</v>
      </c>
      <c r="G56" s="24"/>
      <c r="H56" s="25" t="s">
        <v>162</v>
      </c>
      <c r="I56" s="65" t="s">
        <v>113</v>
      </c>
    </row>
    <row r="57" spans="1:9" ht="28.8" x14ac:dyDescent="0.3">
      <c r="A57" s="44" t="s">
        <v>132</v>
      </c>
      <c r="B57" s="44"/>
      <c r="C57" s="46" t="s">
        <v>133</v>
      </c>
      <c r="D57" s="87">
        <v>150</v>
      </c>
      <c r="E57" s="87">
        <v>150</v>
      </c>
      <c r="F57" s="87">
        <v>150</v>
      </c>
      <c r="G57" s="24"/>
      <c r="H57" s="25" t="s">
        <v>131</v>
      </c>
      <c r="I57" s="65" t="s">
        <v>113</v>
      </c>
    </row>
    <row r="58" spans="1:9" x14ac:dyDescent="0.3">
      <c r="A58" s="45" t="s">
        <v>46</v>
      </c>
      <c r="B58" s="45"/>
      <c r="C58" s="52" t="s">
        <v>24</v>
      </c>
      <c r="D58" s="37">
        <f>SUM(365/(D56/D46))</f>
        <v>402.02028775294269</v>
      </c>
      <c r="E58" s="37">
        <f>SUM(365/(E56/E46))</f>
        <v>9.6152537500765162E-2</v>
      </c>
      <c r="F58" s="37">
        <f>SUM(365/(F56/F46))</f>
        <v>2.9762524345739521E-5</v>
      </c>
      <c r="G58" s="24"/>
      <c r="H58" s="25"/>
      <c r="I58" s="25"/>
    </row>
    <row r="59" spans="1:9" x14ac:dyDescent="0.3">
      <c r="A59" s="45" t="s">
        <v>114</v>
      </c>
      <c r="B59" s="45"/>
      <c r="C59" s="52" t="s">
        <v>118</v>
      </c>
      <c r="D59" s="66">
        <f>SUM(D56*D57/1000)</f>
        <v>1.1569115573597117</v>
      </c>
      <c r="E59" s="66">
        <f t="shared" ref="E59:F59" si="18">SUM(E56*E57/1000)</f>
        <v>6043.7064386159809</v>
      </c>
      <c r="F59" s="66">
        <f t="shared" si="18"/>
        <v>44853436.053656988</v>
      </c>
      <c r="G59" s="24"/>
      <c r="H59" s="25"/>
      <c r="I59" s="25"/>
    </row>
    <row r="61" spans="1:9" ht="21" x14ac:dyDescent="0.3">
      <c r="A61" s="70" t="s">
        <v>21</v>
      </c>
      <c r="B61" s="10"/>
      <c r="G61" s="8"/>
    </row>
    <row r="62" spans="1:9" x14ac:dyDescent="0.3">
      <c r="G62" s="8"/>
    </row>
    <row r="63" spans="1:9" x14ac:dyDescent="0.3">
      <c r="A63" s="44" t="s">
        <v>20</v>
      </c>
      <c r="B63" s="44"/>
      <c r="C63" s="46" t="s">
        <v>19</v>
      </c>
      <c r="D63" s="109">
        <f>'Materials Properties'!K$23*3600/1000000</f>
        <v>2.0699999999999998</v>
      </c>
      <c r="E63" s="109">
        <f>'Materials Properties'!L$23*3600/1000000</f>
        <v>0.54</v>
      </c>
      <c r="F63" s="109">
        <f>'Materials Properties'!M$23*3600/1000000</f>
        <v>0.54</v>
      </c>
      <c r="G63" s="30"/>
      <c r="H63" s="25"/>
      <c r="I63" s="25"/>
    </row>
    <row r="64" spans="1:9" x14ac:dyDescent="0.3">
      <c r="A64" s="44" t="s">
        <v>18</v>
      </c>
      <c r="B64" s="44"/>
      <c r="C64" s="46" t="s">
        <v>17</v>
      </c>
      <c r="D64" s="28">
        <f>SUM(D53*D63)</f>
        <v>1021.7842874600973</v>
      </c>
      <c r="E64" s="28">
        <f>SUM(E53*E63)</f>
        <v>1392469.963457122</v>
      </c>
      <c r="F64" s="28">
        <f>SUM(F53*F63)</f>
        <v>10334231666.762569</v>
      </c>
      <c r="G64" s="30"/>
      <c r="H64" s="25"/>
      <c r="I64" s="25"/>
    </row>
    <row r="65" spans="1:9" ht="27.6" x14ac:dyDescent="0.3">
      <c r="A65" s="44" t="s">
        <v>107</v>
      </c>
      <c r="B65" s="44"/>
      <c r="C65" s="46" t="s">
        <v>9</v>
      </c>
      <c r="D65" s="23">
        <v>0.7</v>
      </c>
      <c r="E65" s="23">
        <v>0.7</v>
      </c>
      <c r="F65" s="23">
        <v>0.7</v>
      </c>
      <c r="G65" s="30"/>
      <c r="H65" s="110" t="s">
        <v>149</v>
      </c>
      <c r="I65" s="25"/>
    </row>
    <row r="66" spans="1:9" ht="43.2" x14ac:dyDescent="0.3">
      <c r="A66" s="45" t="s">
        <v>16</v>
      </c>
      <c r="B66" s="45"/>
      <c r="C66" s="52" t="s">
        <v>15</v>
      </c>
      <c r="D66" s="26">
        <f>D63*1000*D41/D65</f>
        <v>127.98514285714288</v>
      </c>
      <c r="E66" s="26">
        <f t="shared" ref="E66:F66" si="19">E63*1000*E41/E65</f>
        <v>70107.428571428565</v>
      </c>
      <c r="F66" s="26">
        <f t="shared" si="19"/>
        <v>438171428.5714286</v>
      </c>
      <c r="G66" s="111">
        <v>120</v>
      </c>
      <c r="H66" s="25" t="s">
        <v>165</v>
      </c>
      <c r="I66" s="25"/>
    </row>
    <row r="67" spans="1:9" ht="28.8" x14ac:dyDescent="0.3">
      <c r="A67" s="44" t="s">
        <v>13</v>
      </c>
      <c r="B67" s="44"/>
      <c r="C67" s="46" t="s">
        <v>12</v>
      </c>
      <c r="D67" s="71">
        <v>1365</v>
      </c>
      <c r="E67" s="71">
        <v>1365</v>
      </c>
      <c r="F67" s="71">
        <v>1365</v>
      </c>
      <c r="G67" s="112"/>
      <c r="H67" s="25" t="s">
        <v>145</v>
      </c>
      <c r="I67" s="113" t="s">
        <v>11</v>
      </c>
    </row>
    <row r="68" spans="1:9" x14ac:dyDescent="0.3">
      <c r="A68" s="44" t="s">
        <v>10</v>
      </c>
      <c r="B68" s="44"/>
      <c r="C68" s="46" t="s">
        <v>9</v>
      </c>
      <c r="D68" s="23">
        <v>0.4</v>
      </c>
      <c r="E68" s="23">
        <v>0.4</v>
      </c>
      <c r="F68" s="23">
        <v>0.4</v>
      </c>
      <c r="G68" s="30"/>
      <c r="H68" s="25"/>
      <c r="I68" s="25"/>
    </row>
    <row r="69" spans="1:9" ht="28.8" x14ac:dyDescent="0.3">
      <c r="A69" s="45" t="s">
        <v>148</v>
      </c>
      <c r="B69" s="45"/>
      <c r="C69" s="52" t="s">
        <v>3</v>
      </c>
      <c r="D69" s="26">
        <f>SUM(D66/D67)*1000/D68</f>
        <v>234.40502354788072</v>
      </c>
      <c r="E69" s="26">
        <f t="shared" ref="E69:F69" si="20">SUM(E66/E67)*1000/E68</f>
        <v>128401.88383045526</v>
      </c>
      <c r="F69" s="26">
        <f t="shared" si="20"/>
        <v>802511773.94034541</v>
      </c>
      <c r="G69" s="24"/>
      <c r="H69" s="25" t="s">
        <v>146</v>
      </c>
      <c r="I69" s="113" t="s">
        <v>7</v>
      </c>
    </row>
    <row r="70" spans="1:9" x14ac:dyDescent="0.3">
      <c r="A70" s="44" t="s">
        <v>2</v>
      </c>
      <c r="B70" s="44"/>
      <c r="C70" s="46" t="s">
        <v>0</v>
      </c>
      <c r="D70" s="28">
        <f>SQRT(D69)</f>
        <v>15.310291425961843</v>
      </c>
      <c r="E70" s="28">
        <f>SQRT(E69)</f>
        <v>358.33208596280525</v>
      </c>
      <c r="F70" s="28">
        <f>SQRT(F69)</f>
        <v>28328.63875904286</v>
      </c>
      <c r="G70" s="111">
        <f>SQRT(G72)</f>
        <v>50</v>
      </c>
      <c r="H70" s="25" t="s">
        <v>6</v>
      </c>
      <c r="I70" s="25"/>
    </row>
    <row r="71" spans="1:9" x14ac:dyDescent="0.3">
      <c r="A71" s="44" t="s">
        <v>1</v>
      </c>
      <c r="B71" s="44"/>
      <c r="C71" s="46" t="s">
        <v>0</v>
      </c>
      <c r="D71" s="28">
        <f>SQRT(D69*4/3.14)</f>
        <v>17.280194603612006</v>
      </c>
      <c r="E71" s="28">
        <f>SQRT(E69*4/3.14)</f>
        <v>404.43698985739564</v>
      </c>
      <c r="F71" s="28">
        <f>SQRT(F69*4/3.14)</f>
        <v>31973.551449294693</v>
      </c>
      <c r="G71" s="111">
        <f>SQRT(G72*4/3.14)</f>
        <v>56.433264798310034</v>
      </c>
      <c r="H71" s="25" t="s">
        <v>5</v>
      </c>
      <c r="I71" s="25"/>
    </row>
    <row r="72" spans="1:9" x14ac:dyDescent="0.3">
      <c r="A72" s="45" t="s">
        <v>4</v>
      </c>
      <c r="B72" s="45"/>
      <c r="C72" s="52" t="s">
        <v>3</v>
      </c>
      <c r="D72" s="26">
        <f>D66/$G66*$G72/D65</f>
        <v>3809.0816326530617</v>
      </c>
      <c r="E72" s="26">
        <f>E66/$G66*$G72/E65</f>
        <v>2086530.6122448978</v>
      </c>
      <c r="F72" s="26">
        <f>F66/$G66*$G72/F65</f>
        <v>13040816326.530615</v>
      </c>
      <c r="G72" s="111">
        <v>2500</v>
      </c>
      <c r="H72" s="25" t="s">
        <v>147</v>
      </c>
      <c r="I72" s="25"/>
    </row>
    <row r="73" spans="1:9" x14ac:dyDescent="0.3">
      <c r="A73" s="44" t="s">
        <v>2</v>
      </c>
      <c r="B73" s="44"/>
      <c r="C73" s="46" t="s">
        <v>0</v>
      </c>
      <c r="D73" s="28">
        <f>SQRT(D72)</f>
        <v>61.717757838834856</v>
      </c>
      <c r="E73" s="28">
        <f>SQRT(E72)</f>
        <v>1444.4828182588042</v>
      </c>
      <c r="F73" s="28">
        <f>SQRT(F72)</f>
        <v>114196.39366692197</v>
      </c>
      <c r="G73" s="24"/>
      <c r="H73" s="25"/>
      <c r="I73" s="25"/>
    </row>
    <row r="74" spans="1:9" x14ac:dyDescent="0.3">
      <c r="A74" s="44" t="s">
        <v>1</v>
      </c>
      <c r="B74" s="44"/>
      <c r="C74" s="46" t="s">
        <v>0</v>
      </c>
      <c r="D74" s="28">
        <f>SQRT(D72*4/3.14)</f>
        <v>69.658691417538847</v>
      </c>
      <c r="E74" s="28">
        <f>SQRT(E72*4/3.14)</f>
        <v>1630.3376275881649</v>
      </c>
      <c r="F74" s="28">
        <f>SQRT(F72*4/3.14)</f>
        <v>128889.50645634923</v>
      </c>
      <c r="G74" s="24"/>
      <c r="H74" s="25"/>
      <c r="I74" s="25"/>
    </row>
    <row r="76" spans="1:9" x14ac:dyDescent="0.3">
      <c r="A76" s="27" t="s">
        <v>109</v>
      </c>
    </row>
    <row r="77" spans="1:9" x14ac:dyDescent="0.3">
      <c r="A77" s="68" t="s">
        <v>110</v>
      </c>
    </row>
    <row r="78" spans="1:9" x14ac:dyDescent="0.3">
      <c r="A78" s="21" t="s">
        <v>117</v>
      </c>
    </row>
    <row r="88" spans="1:9" s="4" customFormat="1" x14ac:dyDescent="0.3">
      <c r="A88" s="2"/>
      <c r="B88" s="2"/>
      <c r="C88" s="5"/>
      <c r="D88" s="4" t="s">
        <v>126</v>
      </c>
      <c r="E88" s="4">
        <f>8/(2*4)*1000000</f>
        <v>1000000</v>
      </c>
      <c r="G88" s="3"/>
      <c r="H88" s="2"/>
      <c r="I88" s="2"/>
    </row>
    <row r="89" spans="1:9" s="4" customFormat="1" x14ac:dyDescent="0.3">
      <c r="A89" s="2"/>
      <c r="B89" s="2"/>
      <c r="C89" s="5"/>
      <c r="D89" s="4" t="s">
        <v>125</v>
      </c>
      <c r="E89" s="4">
        <f>SUM(E88/E37)</f>
        <v>52360000</v>
      </c>
      <c r="G89" s="3"/>
      <c r="H89" s="2"/>
      <c r="I89" s="2"/>
    </row>
    <row r="90" spans="1:9" s="4" customFormat="1" x14ac:dyDescent="0.3">
      <c r="A90" s="2"/>
      <c r="B90" s="2"/>
      <c r="C90" s="5"/>
      <c r="D90" s="4" t="s">
        <v>24</v>
      </c>
      <c r="E90" s="4">
        <f>SUM(E89/60/24)</f>
        <v>36361.111111111109</v>
      </c>
      <c r="G90" s="3"/>
      <c r="H90" s="2"/>
      <c r="I90" s="2"/>
    </row>
    <row r="91" spans="1:9" s="4" customFormat="1" x14ac:dyDescent="0.3">
      <c r="A91" s="2"/>
      <c r="B91" s="2"/>
      <c r="C91" s="5"/>
      <c r="D91" s="4" t="s">
        <v>22</v>
      </c>
      <c r="E91" s="4">
        <f>SUM(E90/365)</f>
        <v>99.61948249619482</v>
      </c>
      <c r="G91" s="3"/>
      <c r="H91" s="2"/>
      <c r="I91" s="2"/>
    </row>
  </sheetData>
  <hyperlinks>
    <hyperlink ref="I67" r:id="rId1" xr:uid="{17A9D2A5-F55B-4A46-8F37-8B128CB26356}"/>
    <hyperlink ref="I69" r:id="rId2" xr:uid="{863CD3AD-5962-4544-8427-8C65C6077090}"/>
    <hyperlink ref="I56" r:id="rId3" xr:uid="{F0D3D77F-4064-4D44-9514-F41494099C76}"/>
    <hyperlink ref="I57" r:id="rId4" xr:uid="{0149BD0F-6D37-44C1-AECC-3CA71A6228B3}"/>
    <hyperlink ref="I54" r:id="rId5" location=":~:text=The%20moon%27s%20mass%20is%207.35%20x%2010%2022,3.34%20grams%20per%20cubic%20centimeter%20%283.34%20g%2Fcm%203%29." xr:uid="{067A8567-CC1E-46DA-B324-524CD75E1EC5}"/>
    <hyperlink ref="I29" r:id="rId6" xr:uid="{487A6C0C-2B89-4731-BDF0-35F295F7E032}"/>
    <hyperlink ref="I55" r:id="rId7" location=":~:text=It%20is%20estimated%20that%20the%20pyramid%20weighs%20approximately,is%20seen%20today%20is%20the%20underlying%20core%20structure." xr:uid="{EED4EC47-BC60-4B12-A7AE-803137D704D6}"/>
  </hyperlinks>
  <pageMargins left="0.7" right="0.7" top="0.75" bottom="0.75" header="0.3" footer="0.3"/>
  <pageSetup paperSize="9" orientation="portrait" horizontalDpi="4294967293" verticalDpi="300" r:id="rId8"/>
  <drawing r:id="rId9"/>
  <legacyDrawing r:id="rId10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9" r:id="rId11" name="Drop Down 1">
              <controlPr defaultSize="0" autoLine="0" autoPict="0">
                <anchor moveWithCells="1">
                  <from>
                    <xdr:col>2</xdr:col>
                    <xdr:colOff>609600</xdr:colOff>
                    <xdr:row>48</xdr:row>
                    <xdr:rowOff>175260</xdr:rowOff>
                  </from>
                  <to>
                    <xdr:col>4</xdr:col>
                    <xdr:colOff>7620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0" r:id="rId12" name="Drop Down 2">
              <controlPr defaultSize="0" autoLine="0" autoPict="0">
                <anchor moveWithCells="1">
                  <from>
                    <xdr:col>4</xdr:col>
                    <xdr:colOff>0</xdr:colOff>
                    <xdr:row>48</xdr:row>
                    <xdr:rowOff>182880</xdr:rowOff>
                  </from>
                  <to>
                    <xdr:col>5</xdr:col>
                    <xdr:colOff>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13" name="Drop Down 3">
              <controlPr defaultSize="0" autoLine="0" autoPict="0">
                <anchor moveWithCells="1">
                  <from>
                    <xdr:col>5</xdr:col>
                    <xdr:colOff>0</xdr:colOff>
                    <xdr:row>48</xdr:row>
                    <xdr:rowOff>175260</xdr:rowOff>
                  </from>
                  <to>
                    <xdr:col>6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29F2-A9CF-450C-9F71-53FD8325B5F2}">
  <dimension ref="A2:O91"/>
  <sheetViews>
    <sheetView showGridLines="0" topLeftCell="A2" workbookViewId="0">
      <selection activeCell="A96" sqref="A96"/>
    </sheetView>
  </sheetViews>
  <sheetFormatPr defaultColWidth="9.109375" defaultRowHeight="14.4" x14ac:dyDescent="0.3"/>
  <cols>
    <col min="1" max="1" width="40.5546875" style="2" bestFit="1" customWidth="1"/>
    <col min="2" max="2" width="6.6640625" style="2" hidden="1" customWidth="1"/>
    <col min="3" max="6" width="12.88671875" style="4" customWidth="1"/>
    <col min="7" max="14" width="12.88671875" style="1" customWidth="1"/>
    <col min="15" max="16384" width="9.109375" style="1"/>
  </cols>
  <sheetData>
    <row r="2" spans="1:15" ht="21" x14ac:dyDescent="0.3">
      <c r="A2" s="70" t="s">
        <v>89</v>
      </c>
      <c r="B2" s="10"/>
    </row>
    <row r="3" spans="1:15" ht="18" x14ac:dyDescent="0.3">
      <c r="A3" s="10"/>
      <c r="B3" s="10"/>
    </row>
    <row r="4" spans="1:15" x14ac:dyDescent="0.3">
      <c r="A4" s="44"/>
      <c r="B4" s="25"/>
      <c r="C4" s="80" t="s">
        <v>87</v>
      </c>
      <c r="D4" s="80" t="s">
        <v>86</v>
      </c>
      <c r="E4" s="80" t="s">
        <v>85</v>
      </c>
      <c r="F4" s="80" t="s">
        <v>85</v>
      </c>
      <c r="G4" s="80" t="s">
        <v>174</v>
      </c>
      <c r="H4" s="80" t="s">
        <v>175</v>
      </c>
      <c r="I4" s="80" t="s">
        <v>176</v>
      </c>
      <c r="J4" s="80" t="s">
        <v>177</v>
      </c>
      <c r="K4" s="80" t="s">
        <v>178</v>
      </c>
      <c r="L4" s="80" t="s">
        <v>179</v>
      </c>
      <c r="M4" s="80" t="s">
        <v>180</v>
      </c>
      <c r="N4" s="80" t="s">
        <v>181</v>
      </c>
      <c r="O4" s="52" t="s">
        <v>88</v>
      </c>
    </row>
    <row r="5" spans="1:15" x14ac:dyDescent="0.3">
      <c r="A5" s="75" t="s">
        <v>82</v>
      </c>
      <c r="B5" s="75" t="s">
        <v>81</v>
      </c>
      <c r="C5" s="77">
        <v>100</v>
      </c>
      <c r="D5" s="77">
        <v>1000</v>
      </c>
      <c r="E5" s="77">
        <v>2000</v>
      </c>
      <c r="F5" s="77">
        <v>4000</v>
      </c>
      <c r="G5" s="77">
        <v>6000</v>
      </c>
      <c r="H5" s="77">
        <v>8000</v>
      </c>
      <c r="I5" s="77">
        <v>10000</v>
      </c>
      <c r="J5" s="77">
        <v>20000</v>
      </c>
      <c r="K5" s="77">
        <v>40000</v>
      </c>
      <c r="L5" s="77">
        <v>60000</v>
      </c>
      <c r="M5" s="77">
        <v>80000</v>
      </c>
      <c r="N5" s="77">
        <v>100000</v>
      </c>
      <c r="O5" s="76" t="s">
        <v>0</v>
      </c>
    </row>
    <row r="6" spans="1:15" hidden="1" x14ac:dyDescent="0.3">
      <c r="A6" s="44" t="s">
        <v>80</v>
      </c>
      <c r="B6" s="44" t="s">
        <v>79</v>
      </c>
      <c r="C6" s="27">
        <v>10</v>
      </c>
      <c r="D6" s="27">
        <v>100</v>
      </c>
      <c r="E6" s="27">
        <v>100</v>
      </c>
      <c r="F6" s="27">
        <v>10000</v>
      </c>
      <c r="G6" s="27">
        <v>10000</v>
      </c>
      <c r="H6" s="27">
        <v>10000</v>
      </c>
      <c r="I6" s="27">
        <v>10000</v>
      </c>
      <c r="J6" s="27">
        <v>10000</v>
      </c>
      <c r="K6" s="27">
        <v>10000</v>
      </c>
      <c r="L6" s="27">
        <v>10000</v>
      </c>
      <c r="M6" s="27">
        <v>10000</v>
      </c>
      <c r="N6" s="27">
        <v>10000</v>
      </c>
      <c r="O6" s="46" t="s">
        <v>0</v>
      </c>
    </row>
    <row r="7" spans="1:15" hidden="1" x14ac:dyDescent="0.3">
      <c r="A7" s="44" t="s">
        <v>77</v>
      </c>
      <c r="B7" s="44" t="s">
        <v>76</v>
      </c>
      <c r="C7" s="27">
        <f>SUM(C5-(2*C6))</f>
        <v>80</v>
      </c>
      <c r="D7" s="27">
        <f>SUM(D5-(2*D6))</f>
        <v>800</v>
      </c>
      <c r="E7" s="27">
        <f>SUM(E5-(2*E6))</f>
        <v>1800</v>
      </c>
      <c r="F7" s="27">
        <f t="shared" ref="F7:N7" si="0">SUM(F5-(2*F6))</f>
        <v>-16000</v>
      </c>
      <c r="G7" s="27">
        <f t="shared" si="0"/>
        <v>-14000</v>
      </c>
      <c r="H7" s="27">
        <f t="shared" si="0"/>
        <v>-12000</v>
      </c>
      <c r="I7" s="27">
        <f t="shared" si="0"/>
        <v>-10000</v>
      </c>
      <c r="J7" s="27">
        <f t="shared" si="0"/>
        <v>0</v>
      </c>
      <c r="K7" s="27">
        <f t="shared" si="0"/>
        <v>20000</v>
      </c>
      <c r="L7" s="27">
        <f t="shared" si="0"/>
        <v>40000</v>
      </c>
      <c r="M7" s="27">
        <f t="shared" si="0"/>
        <v>60000</v>
      </c>
      <c r="N7" s="27">
        <f t="shared" si="0"/>
        <v>80000</v>
      </c>
      <c r="O7" s="46" t="s">
        <v>0</v>
      </c>
    </row>
    <row r="8" spans="1:15" hidden="1" x14ac:dyDescent="0.3">
      <c r="A8" s="44" t="s">
        <v>75</v>
      </c>
      <c r="B8" s="44" t="s">
        <v>74</v>
      </c>
      <c r="C8" s="48">
        <v>0.02</v>
      </c>
      <c r="D8" s="48">
        <v>0.5</v>
      </c>
      <c r="E8" s="48">
        <v>1.5</v>
      </c>
      <c r="F8" s="27">
        <v>10</v>
      </c>
      <c r="G8" s="27">
        <v>11</v>
      </c>
      <c r="H8" s="27">
        <v>12</v>
      </c>
      <c r="I8" s="27">
        <v>13</v>
      </c>
      <c r="J8" s="27">
        <v>14</v>
      </c>
      <c r="K8" s="27">
        <v>15</v>
      </c>
      <c r="L8" s="27">
        <v>16</v>
      </c>
      <c r="M8" s="27">
        <v>17</v>
      </c>
      <c r="N8" s="27">
        <v>18</v>
      </c>
      <c r="O8" s="46" t="s">
        <v>0</v>
      </c>
    </row>
    <row r="9" spans="1:15" hidden="1" x14ac:dyDescent="0.3">
      <c r="A9" s="44" t="s">
        <v>122</v>
      </c>
      <c r="B9" s="44"/>
      <c r="C9" s="28">
        <f t="shared" ref="C9:F9" si="1">SUM(3.1416/4*((C5*C5)-((C5-(2*C8))*(C5-(2*C8)))))</f>
        <v>6.2819433600003149</v>
      </c>
      <c r="D9" s="28">
        <f t="shared" si="1"/>
        <v>1570.0146</v>
      </c>
      <c r="E9" s="28">
        <f t="shared" ref="E9" si="2">SUM(3.1416/4*((E5*E5)-((E5-(2*E8))*(E5-(2*E8)))))</f>
        <v>9417.7314000000006</v>
      </c>
      <c r="F9" s="28">
        <f t="shared" si="1"/>
        <v>125349.84</v>
      </c>
      <c r="G9" s="28">
        <f t="shared" ref="G9:N9" si="3">SUM(3.1416/4*((G5*G5)-((G5-(2*G8))*(G5-(2*G8)))))</f>
        <v>206965.4664</v>
      </c>
      <c r="H9" s="28">
        <f t="shared" si="3"/>
        <v>301141.2096</v>
      </c>
      <c r="I9" s="28">
        <f t="shared" si="3"/>
        <v>407877.06959999999</v>
      </c>
      <c r="J9" s="28">
        <f t="shared" si="3"/>
        <v>879032.24639999995</v>
      </c>
      <c r="K9" s="28">
        <f t="shared" si="3"/>
        <v>1884253.14</v>
      </c>
      <c r="L9" s="28">
        <f t="shared" si="3"/>
        <v>3015131.7503999998</v>
      </c>
      <c r="M9" s="28">
        <f t="shared" si="3"/>
        <v>4271668.0775999995</v>
      </c>
      <c r="N9" s="28">
        <f t="shared" si="3"/>
        <v>5653862.1216000002</v>
      </c>
      <c r="O9" s="46" t="s">
        <v>3</v>
      </c>
    </row>
    <row r="10" spans="1:15" hidden="1" x14ac:dyDescent="0.3">
      <c r="A10" s="44" t="s">
        <v>153</v>
      </c>
      <c r="B10" s="44"/>
      <c r="C10" s="28">
        <f>(C5-(C8*2))*C8</f>
        <v>1.9991999999999999</v>
      </c>
      <c r="D10" s="28">
        <f>(D5-(D8*2))*D8</f>
        <v>499.5</v>
      </c>
      <c r="E10" s="28">
        <f>(E5-(E8*2))*E8</f>
        <v>2995.5</v>
      </c>
      <c r="F10" s="28">
        <f>(F5-(F8*2))*F8</f>
        <v>39800</v>
      </c>
      <c r="G10" s="28">
        <f t="shared" ref="G10:N10" si="4">(G5-(G8*2))*G8</f>
        <v>65758</v>
      </c>
      <c r="H10" s="28">
        <f t="shared" si="4"/>
        <v>95712</v>
      </c>
      <c r="I10" s="28">
        <f t="shared" si="4"/>
        <v>129662</v>
      </c>
      <c r="J10" s="28">
        <f t="shared" si="4"/>
        <v>279608</v>
      </c>
      <c r="K10" s="28">
        <f t="shared" si="4"/>
        <v>599550</v>
      </c>
      <c r="L10" s="28">
        <f t="shared" si="4"/>
        <v>959488</v>
      </c>
      <c r="M10" s="28">
        <f t="shared" si="4"/>
        <v>1359422</v>
      </c>
      <c r="N10" s="28">
        <f t="shared" si="4"/>
        <v>1799352</v>
      </c>
      <c r="O10" s="46" t="s">
        <v>3</v>
      </c>
    </row>
    <row r="11" spans="1:15" hidden="1" x14ac:dyDescent="0.3">
      <c r="A11" s="44" t="s">
        <v>134</v>
      </c>
      <c r="B11" s="44"/>
      <c r="C11" s="23">
        <v>2</v>
      </c>
      <c r="D11" s="23">
        <v>2</v>
      </c>
      <c r="E11" s="23">
        <v>3</v>
      </c>
      <c r="F11" s="23">
        <v>40</v>
      </c>
      <c r="G11" s="23">
        <v>41</v>
      </c>
      <c r="H11" s="23">
        <v>42</v>
      </c>
      <c r="I11" s="23">
        <v>43</v>
      </c>
      <c r="J11" s="23">
        <v>44</v>
      </c>
      <c r="K11" s="23">
        <v>45</v>
      </c>
      <c r="L11" s="23">
        <v>46</v>
      </c>
      <c r="M11" s="23">
        <v>47</v>
      </c>
      <c r="N11" s="23">
        <v>48</v>
      </c>
      <c r="O11" s="46" t="s">
        <v>9</v>
      </c>
    </row>
    <row r="12" spans="1:15" hidden="1" x14ac:dyDescent="0.3">
      <c r="A12" s="44" t="s">
        <v>136</v>
      </c>
      <c r="B12" s="44"/>
      <c r="C12" s="28">
        <f>C9+C10+(C10*C11)</f>
        <v>12.279543360000314</v>
      </c>
      <c r="D12" s="28">
        <f>D9+D10+(D10*D11)</f>
        <v>3068.5146</v>
      </c>
      <c r="E12" s="28">
        <f>E9+E10+(E10*E11)</f>
        <v>21399.731400000001</v>
      </c>
      <c r="F12" s="28">
        <f>F9+F10+(F10*F11)</f>
        <v>1757149.84</v>
      </c>
      <c r="G12" s="28">
        <f t="shared" ref="G12:N12" si="5">G9+G10+(G10*G11)</f>
        <v>2968801.4664000003</v>
      </c>
      <c r="H12" s="28">
        <f t="shared" si="5"/>
        <v>4416757.2095999997</v>
      </c>
      <c r="I12" s="28">
        <f t="shared" si="5"/>
        <v>6113005.0696</v>
      </c>
      <c r="J12" s="28">
        <f t="shared" si="5"/>
        <v>13461392.246400001</v>
      </c>
      <c r="K12" s="28">
        <f t="shared" si="5"/>
        <v>29463553.140000001</v>
      </c>
      <c r="L12" s="28">
        <f t="shared" si="5"/>
        <v>48111067.750399999</v>
      </c>
      <c r="M12" s="28">
        <f t="shared" si="5"/>
        <v>69523924.077600002</v>
      </c>
      <c r="N12" s="28">
        <f t="shared" si="5"/>
        <v>93822110.121600002</v>
      </c>
      <c r="O12" s="46" t="s">
        <v>3</v>
      </c>
    </row>
    <row r="13" spans="1:15" hidden="1" x14ac:dyDescent="0.3">
      <c r="A13" s="44" t="s">
        <v>73</v>
      </c>
      <c r="B13" s="44" t="s">
        <v>72</v>
      </c>
      <c r="C13" s="28">
        <f>SUM(3.1416*3.1416)*(C5/2+C7/2)*(C5/2-C7/2)*(C5/2-C7/2)/4</f>
        <v>22206.713759999999</v>
      </c>
      <c r="D13" s="28">
        <f>SUM(3.1416*3.1416)*(D5/2+D7/2)*(D5/2-D7/2)*(D5/2-D7/2)/4</f>
        <v>22206713.760000002</v>
      </c>
      <c r="E13" s="28">
        <f>SUM(3.1416*3.1416)*(E5/2+E7/2)*(E5/2-E7/2)*(E5/2-E7/2)/4</f>
        <v>46880840.159999996</v>
      </c>
      <c r="F13" s="28">
        <f>SUM(3.1416*3.1416)*(F5/2+F7/2)*(F5/2-F7/2)*(F5/2-F7/2)/4</f>
        <v>-1480447584000</v>
      </c>
      <c r="G13" s="28">
        <f t="shared" ref="G13:N13" si="6">SUM(3.1416*3.1416)*(G5/2+G7/2)*(G5/2-G7/2)*(G5/2-G7/2)/4</f>
        <v>-986965056000</v>
      </c>
      <c r="H13" s="28">
        <f t="shared" si="6"/>
        <v>-493482528000</v>
      </c>
      <c r="I13" s="28">
        <f t="shared" si="6"/>
        <v>0</v>
      </c>
      <c r="J13" s="28">
        <f t="shared" si="6"/>
        <v>2467412640000</v>
      </c>
      <c r="K13" s="28">
        <f t="shared" si="6"/>
        <v>7402237920000</v>
      </c>
      <c r="L13" s="28">
        <f t="shared" si="6"/>
        <v>12337063200000</v>
      </c>
      <c r="M13" s="28">
        <f t="shared" si="6"/>
        <v>17271888480000</v>
      </c>
      <c r="N13" s="28">
        <f t="shared" si="6"/>
        <v>22206713760000</v>
      </c>
      <c r="O13" s="46" t="s">
        <v>58</v>
      </c>
    </row>
    <row r="14" spans="1:15" hidden="1" x14ac:dyDescent="0.3">
      <c r="A14" s="44" t="s">
        <v>71</v>
      </c>
      <c r="B14" s="44"/>
      <c r="C14" s="49">
        <f>C5-(C8*2)</f>
        <v>99.96</v>
      </c>
      <c r="D14" s="49">
        <f>D5-(D8*2)</f>
        <v>999</v>
      </c>
      <c r="E14" s="49">
        <f>E5-(E8*2)</f>
        <v>1997</v>
      </c>
      <c r="F14" s="49">
        <f>F5-(F8*2)</f>
        <v>3980</v>
      </c>
      <c r="G14" s="49">
        <f t="shared" ref="G14:N14" si="7">G5-(G8*2)</f>
        <v>5978</v>
      </c>
      <c r="H14" s="49">
        <f t="shared" si="7"/>
        <v>7976</v>
      </c>
      <c r="I14" s="49">
        <f t="shared" si="7"/>
        <v>9974</v>
      </c>
      <c r="J14" s="49">
        <f t="shared" si="7"/>
        <v>19972</v>
      </c>
      <c r="K14" s="49">
        <f t="shared" si="7"/>
        <v>39970</v>
      </c>
      <c r="L14" s="49">
        <f t="shared" si="7"/>
        <v>59968</v>
      </c>
      <c r="M14" s="49">
        <f t="shared" si="7"/>
        <v>79966</v>
      </c>
      <c r="N14" s="49">
        <f t="shared" si="7"/>
        <v>99964</v>
      </c>
      <c r="O14" s="46" t="s">
        <v>0</v>
      </c>
    </row>
    <row r="15" spans="1:15" hidden="1" x14ac:dyDescent="0.3">
      <c r="A15" s="44" t="s">
        <v>70</v>
      </c>
      <c r="B15" s="44"/>
      <c r="C15" s="49">
        <f>C7+(C8*2)</f>
        <v>80.040000000000006</v>
      </c>
      <c r="D15" s="49">
        <f>D7+(D8*2)</f>
        <v>801</v>
      </c>
      <c r="E15" s="49">
        <f>E7+(E8*2)</f>
        <v>1803</v>
      </c>
      <c r="F15" s="49">
        <f>F7+(F8*2)</f>
        <v>-15980</v>
      </c>
      <c r="G15" s="49">
        <f t="shared" ref="G15:N15" si="8">G7+(G8*2)</f>
        <v>-13978</v>
      </c>
      <c r="H15" s="49">
        <f t="shared" si="8"/>
        <v>-11976</v>
      </c>
      <c r="I15" s="49">
        <f t="shared" si="8"/>
        <v>-9974</v>
      </c>
      <c r="J15" s="49">
        <f t="shared" si="8"/>
        <v>28</v>
      </c>
      <c r="K15" s="49">
        <f t="shared" si="8"/>
        <v>20030</v>
      </c>
      <c r="L15" s="49">
        <f t="shared" si="8"/>
        <v>40032</v>
      </c>
      <c r="M15" s="49">
        <f t="shared" si="8"/>
        <v>60034</v>
      </c>
      <c r="N15" s="49">
        <f t="shared" si="8"/>
        <v>80036</v>
      </c>
      <c r="O15" s="46" t="s">
        <v>0</v>
      </c>
    </row>
    <row r="16" spans="1:15" hidden="1" x14ac:dyDescent="0.3">
      <c r="A16" s="44" t="s">
        <v>69</v>
      </c>
      <c r="B16" s="44"/>
      <c r="C16" s="28">
        <f>SUM(3.1416*3.1416)*(C14/2+C15/2)*(C14/2-C15/2)*(C14/2-C15/2)/4</f>
        <v>22029.415357340135</v>
      </c>
      <c r="D16" s="28">
        <f t="shared" ref="D16:F16" si="9">SUM(3.1416*3.1416)*(D14/2+D15/2)*(D14/2-D15/2)*(D14/2-D15/2)/4</f>
        <v>21764800.156176005</v>
      </c>
      <c r="E16" s="28">
        <f t="shared" ref="E16" si="10">SUM(3.1416*3.1416)*(E14/2+E15/2)*(E14/2-E15/2)*(E14/2-E15/2)/4</f>
        <v>44110182.506544001</v>
      </c>
      <c r="F16" s="28">
        <f t="shared" si="9"/>
        <v>-1474531715454.3362</v>
      </c>
      <c r="G16" s="28">
        <f t="shared" ref="G16:N16" si="11">SUM(3.1416*3.1416)*(G14/2+G15/2)*(G14/2-G15/2)*(G14/2-G15/2)/4</f>
        <v>-982627186664.47107</v>
      </c>
      <c r="H16" s="28">
        <f t="shared" si="11"/>
        <v>-491116654324.9613</v>
      </c>
      <c r="I16" s="28">
        <f t="shared" si="11"/>
        <v>0</v>
      </c>
      <c r="J16" s="28">
        <f t="shared" si="11"/>
        <v>2453614473731.0977</v>
      </c>
      <c r="K16" s="28">
        <f t="shared" si="11"/>
        <v>7357891112621.2793</v>
      </c>
      <c r="L16" s="28">
        <f t="shared" si="11"/>
        <v>12258232327047.168</v>
      </c>
      <c r="M16" s="28">
        <f t="shared" si="11"/>
        <v>17154639301366.828</v>
      </c>
      <c r="N16" s="28">
        <f t="shared" si="11"/>
        <v>22047113219938.332</v>
      </c>
      <c r="O16" s="46" t="s">
        <v>58</v>
      </c>
    </row>
    <row r="17" spans="1:15" hidden="1" x14ac:dyDescent="0.3">
      <c r="A17" s="44" t="s">
        <v>67</v>
      </c>
      <c r="B17" s="45"/>
      <c r="C17" s="28">
        <f>SUM(C13-C16)</f>
        <v>177.29840265986422</v>
      </c>
      <c r="D17" s="28">
        <f>SUM(D13-D16)</f>
        <v>441913.60382399708</v>
      </c>
      <c r="E17" s="28">
        <f>SUM(E13-E16)</f>
        <v>2770657.653455995</v>
      </c>
      <c r="F17" s="28">
        <f>SUM(F13-F16)</f>
        <v>-5915868545.6638184</v>
      </c>
      <c r="G17" s="28">
        <f t="shared" ref="G17:N17" si="12">SUM(G13-G16)</f>
        <v>-4337869335.5289307</v>
      </c>
      <c r="H17" s="28">
        <f t="shared" si="12"/>
        <v>-2365873675.0386963</v>
      </c>
      <c r="I17" s="28">
        <f t="shared" si="12"/>
        <v>0</v>
      </c>
      <c r="J17" s="28">
        <f t="shared" si="12"/>
        <v>13798166268.902344</v>
      </c>
      <c r="K17" s="28">
        <f t="shared" si="12"/>
        <v>44346807378.720703</v>
      </c>
      <c r="L17" s="28">
        <f t="shared" si="12"/>
        <v>78830872952.832031</v>
      </c>
      <c r="M17" s="28">
        <f t="shared" si="12"/>
        <v>117249178633.17188</v>
      </c>
      <c r="N17" s="28">
        <f t="shared" si="12"/>
        <v>159600540061.66797</v>
      </c>
      <c r="O17" s="46" t="s">
        <v>58</v>
      </c>
    </row>
    <row r="18" spans="1:15" hidden="1" x14ac:dyDescent="0.3">
      <c r="A18" s="44" t="s">
        <v>66</v>
      </c>
      <c r="B18" s="44"/>
      <c r="C18" s="28">
        <f>(3.1416*C8*C14*(C6-2*C8))</f>
        <v>62.555639731199996</v>
      </c>
      <c r="D18" s="28">
        <f>(3.1416*D8*D14*(D6-2*D8))</f>
        <v>155353.69080000001</v>
      </c>
      <c r="E18" s="28">
        <f>(3.1416*E8*E14*(E6-2*E8))</f>
        <v>912834.2916</v>
      </c>
      <c r="F18" s="28">
        <f>(3.1416*F8*F14*(F6-2*F8))</f>
        <v>1247856086.4000001</v>
      </c>
      <c r="G18" s="28">
        <f t="shared" ref="G18:N18" si="13">(3.1416*G8*G14*(G6-2*G8))</f>
        <v>2061308450.6784</v>
      </c>
      <c r="H18" s="28">
        <f t="shared" si="13"/>
        <v>2999671660.3391995</v>
      </c>
      <c r="I18" s="28">
        <f t="shared" si="13"/>
        <v>4062870392.3808002</v>
      </c>
      <c r="J18" s="28">
        <f t="shared" si="13"/>
        <v>8759569266.2015991</v>
      </c>
      <c r="K18" s="28">
        <f t="shared" si="13"/>
        <v>18778956411.599998</v>
      </c>
      <c r="L18" s="28">
        <f t="shared" si="13"/>
        <v>30046816527.9744</v>
      </c>
      <c r="M18" s="28">
        <f t="shared" si="13"/>
        <v>42562395706.723198</v>
      </c>
      <c r="N18" s="28">
        <f t="shared" si="13"/>
        <v>56324940039.244804</v>
      </c>
      <c r="O18" s="46" t="s">
        <v>58</v>
      </c>
    </row>
    <row r="19" spans="1:15" hidden="1" x14ac:dyDescent="0.3">
      <c r="A19" s="44" t="s">
        <v>63</v>
      </c>
      <c r="B19" s="45"/>
      <c r="C19" s="28">
        <f>SUM(C11*C18)+C18</f>
        <v>187.66691919359999</v>
      </c>
      <c r="D19" s="28">
        <f>SUM(D11*D18)+D18</f>
        <v>466061.07240000006</v>
      </c>
      <c r="E19" s="28">
        <f>SUM(E11*E18)+E18</f>
        <v>3651337.1664</v>
      </c>
      <c r="F19" s="28">
        <f>SUM(F11*F18)+F18</f>
        <v>51162099542.400002</v>
      </c>
      <c r="G19" s="28">
        <f t="shared" ref="G19:N19" si="14">SUM(G11*G18)+G18</f>
        <v>86574954928.492813</v>
      </c>
      <c r="H19" s="28">
        <f t="shared" si="14"/>
        <v>128985881394.58559</v>
      </c>
      <c r="I19" s="28">
        <f t="shared" si="14"/>
        <v>178766297264.75522</v>
      </c>
      <c r="J19" s="28">
        <f t="shared" si="14"/>
        <v>394180616979.07196</v>
      </c>
      <c r="K19" s="28">
        <f t="shared" si="14"/>
        <v>863831994933.59985</v>
      </c>
      <c r="L19" s="28">
        <f t="shared" si="14"/>
        <v>1412200376814.7966</v>
      </c>
      <c r="M19" s="28">
        <f t="shared" si="14"/>
        <v>2042994993922.7134</v>
      </c>
      <c r="N19" s="28">
        <f t="shared" si="14"/>
        <v>2759922061922.9951</v>
      </c>
      <c r="O19" s="46" t="s">
        <v>58</v>
      </c>
    </row>
    <row r="20" spans="1:15" hidden="1" x14ac:dyDescent="0.3">
      <c r="A20" s="45" t="s">
        <v>62</v>
      </c>
      <c r="B20" s="45"/>
      <c r="C20" s="26">
        <f>C16-C19</f>
        <v>21841.748438146533</v>
      </c>
      <c r="D20" s="26">
        <f t="shared" ref="D20:F20" si="15">D16-D19</f>
        <v>21298739.083776005</v>
      </c>
      <c r="E20" s="26">
        <f t="shared" ref="E20" si="16">E16-E19</f>
        <v>40458845.340144001</v>
      </c>
      <c r="F20" s="26">
        <f t="shared" si="15"/>
        <v>-1525693814996.7361</v>
      </c>
      <c r="G20" s="26">
        <f t="shared" ref="G20:N20" si="17">G16-G19</f>
        <v>-1069202141592.9639</v>
      </c>
      <c r="H20" s="26">
        <f t="shared" si="17"/>
        <v>-620102535719.54688</v>
      </c>
      <c r="I20" s="26">
        <f t="shared" si="17"/>
        <v>-178766297264.75522</v>
      </c>
      <c r="J20" s="26">
        <f t="shared" si="17"/>
        <v>2059433856752.0256</v>
      </c>
      <c r="K20" s="26">
        <f t="shared" si="17"/>
        <v>6494059117687.6797</v>
      </c>
      <c r="L20" s="26">
        <f t="shared" si="17"/>
        <v>10846031950232.371</v>
      </c>
      <c r="M20" s="26">
        <f t="shared" si="17"/>
        <v>15111644307444.115</v>
      </c>
      <c r="N20" s="26">
        <f t="shared" si="17"/>
        <v>19287191158015.336</v>
      </c>
      <c r="O20" s="52" t="s">
        <v>58</v>
      </c>
    </row>
    <row r="21" spans="1:15" hidden="1" x14ac:dyDescent="0.3">
      <c r="A21" s="45" t="s">
        <v>62</v>
      </c>
      <c r="B21" s="45"/>
      <c r="C21" s="26">
        <f>C20/1000000000</f>
        <v>2.1841748438146534E-5</v>
      </c>
      <c r="D21" s="26">
        <f t="shared" ref="D21:F21" si="18">D20/1000000000</f>
        <v>2.1298739083776004E-2</v>
      </c>
      <c r="E21" s="26">
        <f t="shared" ref="E21" si="19">E20/1000000000</f>
        <v>4.0458845340144003E-2</v>
      </c>
      <c r="F21" s="26">
        <f t="shared" si="18"/>
        <v>-1525.6938149967361</v>
      </c>
      <c r="G21" s="26">
        <f t="shared" ref="G21:N21" si="20">G20/1000000000</f>
        <v>-1069.2021415929639</v>
      </c>
      <c r="H21" s="26">
        <f t="shared" si="20"/>
        <v>-620.10253571954684</v>
      </c>
      <c r="I21" s="26">
        <f t="shared" si="20"/>
        <v>-178.76629726475522</v>
      </c>
      <c r="J21" s="26">
        <f t="shared" si="20"/>
        <v>2059.4338567520258</v>
      </c>
      <c r="K21" s="26">
        <f t="shared" si="20"/>
        <v>6494.0591176876796</v>
      </c>
      <c r="L21" s="26">
        <f t="shared" si="20"/>
        <v>10846.031950232371</v>
      </c>
      <c r="M21" s="26">
        <f t="shared" si="20"/>
        <v>15111.644307444116</v>
      </c>
      <c r="N21" s="26">
        <f t="shared" si="20"/>
        <v>19287.191158015336</v>
      </c>
      <c r="O21" s="52" t="s">
        <v>167</v>
      </c>
    </row>
    <row r="22" spans="1:15" hidden="1" x14ac:dyDescent="0.3">
      <c r="A22" s="45" t="s">
        <v>61</v>
      </c>
      <c r="B22" s="45"/>
      <c r="C22" s="26">
        <f>C17+C19</f>
        <v>364.96532185346422</v>
      </c>
      <c r="D22" s="26">
        <f>D17+D19</f>
        <v>907974.67622399714</v>
      </c>
      <c r="E22" s="26">
        <f>E17+E19</f>
        <v>6421994.8198559955</v>
      </c>
      <c r="F22" s="26">
        <f>F17+F19</f>
        <v>45246230996.736183</v>
      </c>
      <c r="G22" s="26">
        <f t="shared" ref="G22:N22" si="21">G17+G19</f>
        <v>82237085592.963882</v>
      </c>
      <c r="H22" s="26">
        <f t="shared" si="21"/>
        <v>126620007719.54689</v>
      </c>
      <c r="I22" s="26">
        <f t="shared" si="21"/>
        <v>178766297264.75522</v>
      </c>
      <c r="J22" s="26">
        <f t="shared" si="21"/>
        <v>407978783247.9743</v>
      </c>
      <c r="K22" s="26">
        <f t="shared" si="21"/>
        <v>908178802312.32056</v>
      </c>
      <c r="L22" s="26">
        <f t="shared" si="21"/>
        <v>1491031249767.6287</v>
      </c>
      <c r="M22" s="26">
        <f t="shared" si="21"/>
        <v>2160244172555.8853</v>
      </c>
      <c r="N22" s="26">
        <f t="shared" si="21"/>
        <v>2919522601984.6631</v>
      </c>
      <c r="O22" s="52" t="s">
        <v>58</v>
      </c>
    </row>
    <row r="23" spans="1:15" hidden="1" x14ac:dyDescent="0.3">
      <c r="A23" s="45" t="s">
        <v>61</v>
      </c>
      <c r="B23" s="45"/>
      <c r="C23" s="26">
        <f>C22/1000000000</f>
        <v>3.6496532185346424E-7</v>
      </c>
      <c r="D23" s="26">
        <f t="shared" ref="D23:F23" si="22">D22/1000000000</f>
        <v>9.0797467622399713E-4</v>
      </c>
      <c r="E23" s="26">
        <f t="shared" ref="E23" si="23">E22/1000000000</f>
        <v>6.4219948198559959E-3</v>
      </c>
      <c r="F23" s="26">
        <f t="shared" si="22"/>
        <v>45.24623099673618</v>
      </c>
      <c r="G23" s="26">
        <f t="shared" ref="G23:N23" si="24">G22/1000000000</f>
        <v>82.237085592963879</v>
      </c>
      <c r="H23" s="26">
        <f t="shared" si="24"/>
        <v>126.62000771954689</v>
      </c>
      <c r="I23" s="26">
        <f t="shared" si="24"/>
        <v>178.76629726475522</v>
      </c>
      <c r="J23" s="26">
        <f t="shared" si="24"/>
        <v>407.97878324797432</v>
      </c>
      <c r="K23" s="26">
        <f t="shared" si="24"/>
        <v>908.17880231232061</v>
      </c>
      <c r="L23" s="26">
        <f t="shared" si="24"/>
        <v>1491.0312497676287</v>
      </c>
      <c r="M23" s="26">
        <f t="shared" si="24"/>
        <v>2160.2441725558851</v>
      </c>
      <c r="N23" s="26">
        <f t="shared" si="24"/>
        <v>2919.5226019846632</v>
      </c>
      <c r="O23" s="52" t="s">
        <v>167</v>
      </c>
    </row>
    <row r="24" spans="1:15" hidden="1" x14ac:dyDescent="0.3">
      <c r="A24" s="44" t="s">
        <v>60</v>
      </c>
      <c r="B24" s="44"/>
      <c r="C24" s="88">
        <v>50</v>
      </c>
      <c r="D24" s="88">
        <v>10000</v>
      </c>
      <c r="E24" s="88">
        <v>10001</v>
      </c>
      <c r="F24" s="88">
        <v>100000000</v>
      </c>
      <c r="G24" s="88">
        <v>100000001</v>
      </c>
      <c r="H24" s="88">
        <v>100000002</v>
      </c>
      <c r="I24" s="88">
        <v>100000003</v>
      </c>
      <c r="J24" s="88">
        <v>100000004</v>
      </c>
      <c r="K24" s="88">
        <v>100000005</v>
      </c>
      <c r="L24" s="88">
        <v>100000006</v>
      </c>
      <c r="M24" s="88">
        <v>100000007</v>
      </c>
      <c r="N24" s="88">
        <v>100000008</v>
      </c>
      <c r="O24" s="46"/>
    </row>
    <row r="25" spans="1:15" hidden="1" x14ac:dyDescent="0.3">
      <c r="A25" s="45" t="s">
        <v>154</v>
      </c>
      <c r="B25" s="45"/>
      <c r="C25" s="26">
        <f>3.1416*2*(C5-C7)*C6</f>
        <v>1256.6400000000001</v>
      </c>
      <c r="D25" s="26">
        <f>3.1416*2*(D5-D7)*D6</f>
        <v>125663.99999999999</v>
      </c>
      <c r="E25" s="26">
        <f>3.1416*2*(E5-E7)*E6</f>
        <v>125663.99999999999</v>
      </c>
      <c r="F25" s="26">
        <f>3.1416*2*(F5-F7)*F6</f>
        <v>1256640000</v>
      </c>
      <c r="G25" s="26">
        <f t="shared" ref="G25:N25" si="25">3.1416*2*(G5-G7)*G6</f>
        <v>1256640000</v>
      </c>
      <c r="H25" s="26">
        <f t="shared" si="25"/>
        <v>1256640000</v>
      </c>
      <c r="I25" s="26">
        <f t="shared" si="25"/>
        <v>1256640000</v>
      </c>
      <c r="J25" s="26">
        <f t="shared" si="25"/>
        <v>1256640000</v>
      </c>
      <c r="K25" s="26">
        <f t="shared" si="25"/>
        <v>1256640000</v>
      </c>
      <c r="L25" s="26">
        <f t="shared" si="25"/>
        <v>1256640000</v>
      </c>
      <c r="M25" s="26">
        <f t="shared" si="25"/>
        <v>1256640000</v>
      </c>
      <c r="N25" s="26">
        <f t="shared" si="25"/>
        <v>1256640000</v>
      </c>
      <c r="O25" s="52" t="s">
        <v>3</v>
      </c>
    </row>
    <row r="26" spans="1:15" hidden="1" x14ac:dyDescent="0.3">
      <c r="A26" s="45" t="s">
        <v>154</v>
      </c>
      <c r="B26" s="45"/>
      <c r="C26" s="26">
        <f>C25/1000000</f>
        <v>1.2566400000000001E-3</v>
      </c>
      <c r="D26" s="26">
        <f t="shared" ref="D26:F26" si="26">D25/1000000</f>
        <v>0.125664</v>
      </c>
      <c r="E26" s="26">
        <f t="shared" ref="E26" si="27">E25/1000000</f>
        <v>0.125664</v>
      </c>
      <c r="F26" s="26">
        <f t="shared" si="26"/>
        <v>1256.6400000000001</v>
      </c>
      <c r="G26" s="26">
        <f t="shared" ref="G26:N26" si="28">G25/1000000</f>
        <v>1256.6400000000001</v>
      </c>
      <c r="H26" s="26">
        <f t="shared" si="28"/>
        <v>1256.6400000000001</v>
      </c>
      <c r="I26" s="26">
        <f t="shared" si="28"/>
        <v>1256.6400000000001</v>
      </c>
      <c r="J26" s="26">
        <f t="shared" si="28"/>
        <v>1256.6400000000001</v>
      </c>
      <c r="K26" s="26">
        <f t="shared" si="28"/>
        <v>1256.6400000000001</v>
      </c>
      <c r="L26" s="26">
        <f t="shared" si="28"/>
        <v>1256.6400000000001</v>
      </c>
      <c r="M26" s="26">
        <f t="shared" si="28"/>
        <v>1256.6400000000001</v>
      </c>
      <c r="N26" s="26">
        <f t="shared" si="28"/>
        <v>1256.6400000000001</v>
      </c>
      <c r="O26" s="52" t="s">
        <v>166</v>
      </c>
    </row>
    <row r="27" spans="1:15" hidden="1" x14ac:dyDescent="0.3">
      <c r="A27" s="45" t="s">
        <v>59</v>
      </c>
      <c r="B27" s="45"/>
      <c r="C27" s="26">
        <f>C20/C24/2</f>
        <v>218.41748438146533</v>
      </c>
      <c r="D27" s="26">
        <f t="shared" ref="D27:F27" si="29">D20/D24/2</f>
        <v>1064.9369541888002</v>
      </c>
      <c r="E27" s="26">
        <f t="shared" ref="E27" si="30">E20/E24/2</f>
        <v>2022.7399930078993</v>
      </c>
      <c r="F27" s="26">
        <f t="shared" si="29"/>
        <v>-7628.46907498368</v>
      </c>
      <c r="G27" s="26">
        <f t="shared" ref="G27:N27" si="31">G20/G24/2</f>
        <v>-5346.0106545047129</v>
      </c>
      <c r="H27" s="26">
        <f t="shared" si="31"/>
        <v>-3100.5126165874822</v>
      </c>
      <c r="I27" s="26">
        <f t="shared" si="31"/>
        <v>-893.83145950883227</v>
      </c>
      <c r="J27" s="26">
        <f t="shared" si="31"/>
        <v>10297.168871873373</v>
      </c>
      <c r="K27" s="26">
        <f t="shared" si="31"/>
        <v>32470.293964923701</v>
      </c>
      <c r="L27" s="26">
        <f t="shared" si="31"/>
        <v>54230.156497352466</v>
      </c>
      <c r="M27" s="26">
        <f t="shared" si="31"/>
        <v>75558.216248145443</v>
      </c>
      <c r="N27" s="26">
        <f t="shared" si="31"/>
        <v>96435.948075200839</v>
      </c>
      <c r="O27" s="52" t="s">
        <v>58</v>
      </c>
    </row>
    <row r="28" spans="1:15" hidden="1" x14ac:dyDescent="0.3">
      <c r="A28" s="45" t="s">
        <v>137</v>
      </c>
      <c r="B28" s="45"/>
      <c r="C28" s="26">
        <f>C27/2.5</f>
        <v>87.366993752586126</v>
      </c>
      <c r="D28" s="26">
        <f t="shared" ref="D28:F28" si="32">D27/2.5</f>
        <v>425.97478167552009</v>
      </c>
      <c r="E28" s="26">
        <f t="shared" ref="E28" si="33">E27/2.5</f>
        <v>809.09599720315975</v>
      </c>
      <c r="F28" s="26">
        <f t="shared" si="32"/>
        <v>-3051.3876299934718</v>
      </c>
      <c r="G28" s="26">
        <f t="shared" ref="G28:N28" si="34">G27/2.5</f>
        <v>-2138.4042618018852</v>
      </c>
      <c r="H28" s="26">
        <f t="shared" si="34"/>
        <v>-1240.2050466349929</v>
      </c>
      <c r="I28" s="26">
        <f t="shared" si="34"/>
        <v>-357.53258380353293</v>
      </c>
      <c r="J28" s="26">
        <f t="shared" si="34"/>
        <v>4118.8675487493492</v>
      </c>
      <c r="K28" s="26">
        <f t="shared" si="34"/>
        <v>12988.117585969481</v>
      </c>
      <c r="L28" s="26">
        <f t="shared" si="34"/>
        <v>21692.062598940985</v>
      </c>
      <c r="M28" s="26">
        <f t="shared" si="34"/>
        <v>30223.286499258178</v>
      </c>
      <c r="N28" s="26">
        <f t="shared" si="34"/>
        <v>38574.379230080332</v>
      </c>
      <c r="O28" s="52" t="s">
        <v>3</v>
      </c>
    </row>
    <row r="29" spans="1:15" hidden="1" x14ac:dyDescent="0.3">
      <c r="A29" s="45" t="s">
        <v>157</v>
      </c>
      <c r="B29" s="45"/>
      <c r="C29" s="26">
        <f>SUM(C24*62)/1000</f>
        <v>3.1</v>
      </c>
      <c r="D29" s="26">
        <f t="shared" ref="D29:F29" si="35">SUM(D24*62)/1000</f>
        <v>620</v>
      </c>
      <c r="E29" s="26">
        <f t="shared" ref="E29" si="36">SUM(E24*62)/1000</f>
        <v>620.06200000000001</v>
      </c>
      <c r="F29" s="26">
        <f t="shared" si="35"/>
        <v>6200000</v>
      </c>
      <c r="G29" s="26">
        <f t="shared" ref="G29:N29" si="37">SUM(G24*62)/1000</f>
        <v>6200000.0619999999</v>
      </c>
      <c r="H29" s="26">
        <f t="shared" si="37"/>
        <v>6200000.1239999998</v>
      </c>
      <c r="I29" s="26">
        <f t="shared" si="37"/>
        <v>6200000.1859999998</v>
      </c>
      <c r="J29" s="26">
        <f t="shared" si="37"/>
        <v>6200000.2479999997</v>
      </c>
      <c r="K29" s="26">
        <f t="shared" si="37"/>
        <v>6200000.3099999996</v>
      </c>
      <c r="L29" s="26">
        <f t="shared" si="37"/>
        <v>6200000.3720000004</v>
      </c>
      <c r="M29" s="26">
        <f t="shared" si="37"/>
        <v>6200000.4340000004</v>
      </c>
      <c r="N29" s="26">
        <f t="shared" si="37"/>
        <v>6200000.4960000003</v>
      </c>
      <c r="O29" s="52" t="s">
        <v>158</v>
      </c>
    </row>
    <row r="30" spans="1:15" hidden="1" x14ac:dyDescent="0.3">
      <c r="C30" s="85"/>
      <c r="G30" s="4"/>
      <c r="H30" s="4"/>
      <c r="I30" s="4"/>
      <c r="J30" s="4"/>
      <c r="K30" s="4"/>
      <c r="L30" s="4"/>
      <c r="M30" s="4"/>
      <c r="N30" s="4"/>
      <c r="O30" s="5"/>
    </row>
    <row r="31" spans="1:15" ht="21" hidden="1" x14ac:dyDescent="0.3">
      <c r="A31" s="70" t="s">
        <v>45</v>
      </c>
      <c r="B31" s="10"/>
      <c r="G31" s="4"/>
      <c r="H31" s="4"/>
      <c r="I31" s="4"/>
      <c r="J31" s="4"/>
      <c r="K31" s="4"/>
      <c r="L31" s="4"/>
      <c r="M31" s="4"/>
      <c r="N31" s="4"/>
      <c r="O31" s="5"/>
    </row>
    <row r="32" spans="1:15" hidden="1" x14ac:dyDescent="0.3">
      <c r="G32" s="4"/>
      <c r="H32" s="4"/>
      <c r="I32" s="4"/>
      <c r="J32" s="4"/>
      <c r="K32" s="4"/>
      <c r="L32" s="4"/>
      <c r="M32" s="4"/>
      <c r="N32" s="4"/>
      <c r="O32" s="5"/>
    </row>
    <row r="33" spans="1:15" x14ac:dyDescent="0.3">
      <c r="A33" s="44" t="s">
        <v>44</v>
      </c>
      <c r="B33" s="44"/>
      <c r="C33" s="36">
        <v>15.5</v>
      </c>
      <c r="D33" s="36">
        <v>50</v>
      </c>
      <c r="E33" s="36">
        <v>70</v>
      </c>
      <c r="F33" s="36">
        <v>100</v>
      </c>
      <c r="G33" s="36">
        <v>122</v>
      </c>
      <c r="H33" s="36">
        <v>140</v>
      </c>
      <c r="I33" s="36">
        <v>157</v>
      </c>
      <c r="J33" s="36">
        <v>222</v>
      </c>
      <c r="K33" s="36">
        <v>315</v>
      </c>
      <c r="L33" s="36">
        <v>382</v>
      </c>
      <c r="M33" s="36">
        <v>445</v>
      </c>
      <c r="N33" s="36">
        <v>495</v>
      </c>
      <c r="O33" s="46" t="s">
        <v>43</v>
      </c>
    </row>
    <row r="34" spans="1:15" hidden="1" x14ac:dyDescent="0.3">
      <c r="A34" s="44" t="s">
        <v>41</v>
      </c>
      <c r="B34" s="44"/>
      <c r="C34" s="27">
        <v>4</v>
      </c>
      <c r="D34" s="27">
        <v>100</v>
      </c>
      <c r="E34" s="27">
        <v>100</v>
      </c>
      <c r="F34" s="27">
        <v>2000</v>
      </c>
      <c r="G34" s="27">
        <v>2000</v>
      </c>
      <c r="H34" s="27">
        <v>2000</v>
      </c>
      <c r="I34" s="27">
        <v>2000</v>
      </c>
      <c r="J34" s="27">
        <v>2000</v>
      </c>
      <c r="K34" s="27">
        <v>2000</v>
      </c>
      <c r="L34" s="27">
        <v>2000</v>
      </c>
      <c r="M34" s="27">
        <v>2000</v>
      </c>
      <c r="N34" s="27">
        <v>2000</v>
      </c>
      <c r="O34" s="46" t="s">
        <v>38</v>
      </c>
    </row>
    <row r="35" spans="1:15" hidden="1" x14ac:dyDescent="0.3">
      <c r="A35" s="44" t="s">
        <v>39</v>
      </c>
      <c r="B35" s="44"/>
      <c r="C35" s="27">
        <v>2</v>
      </c>
      <c r="D35" s="27">
        <v>20</v>
      </c>
      <c r="E35" s="27">
        <v>20</v>
      </c>
      <c r="F35" s="27">
        <v>1000</v>
      </c>
      <c r="G35" s="27">
        <v>1000</v>
      </c>
      <c r="H35" s="27">
        <v>1000</v>
      </c>
      <c r="I35" s="27">
        <v>1000</v>
      </c>
      <c r="J35" s="27">
        <v>1000</v>
      </c>
      <c r="K35" s="27">
        <v>1000</v>
      </c>
      <c r="L35" s="27">
        <v>1000</v>
      </c>
      <c r="M35" s="27">
        <v>1000</v>
      </c>
      <c r="N35" s="27">
        <v>1000</v>
      </c>
      <c r="O35" s="46" t="s">
        <v>38</v>
      </c>
    </row>
    <row r="36" spans="1:15" hidden="1" x14ac:dyDescent="0.3">
      <c r="A36" s="44" t="s">
        <v>37</v>
      </c>
      <c r="B36" s="44"/>
      <c r="C36" s="28">
        <f>SUM(C34*C33*C35)</f>
        <v>124</v>
      </c>
      <c r="D36" s="28">
        <f t="shared" ref="D36:F36" si="38">SUM(D34*D33*D35)</f>
        <v>100000</v>
      </c>
      <c r="E36" s="28">
        <f t="shared" ref="E36" si="39">SUM(E34*E33*E35)</f>
        <v>140000</v>
      </c>
      <c r="F36" s="28">
        <f t="shared" si="38"/>
        <v>200000000</v>
      </c>
      <c r="G36" s="28">
        <f t="shared" ref="G36:N36" si="40">SUM(G34*G33*G35)</f>
        <v>244000000</v>
      </c>
      <c r="H36" s="28">
        <f t="shared" si="40"/>
        <v>280000000</v>
      </c>
      <c r="I36" s="28">
        <f t="shared" si="40"/>
        <v>314000000</v>
      </c>
      <c r="J36" s="28">
        <f t="shared" si="40"/>
        <v>444000000</v>
      </c>
      <c r="K36" s="28">
        <f t="shared" si="40"/>
        <v>630000000</v>
      </c>
      <c r="L36" s="28">
        <f t="shared" si="40"/>
        <v>764000000</v>
      </c>
      <c r="M36" s="28">
        <f t="shared" si="40"/>
        <v>890000000</v>
      </c>
      <c r="N36" s="28">
        <f t="shared" si="40"/>
        <v>990000000</v>
      </c>
      <c r="O36" s="46" t="s">
        <v>36</v>
      </c>
    </row>
    <row r="37" spans="1:15" x14ac:dyDescent="0.3">
      <c r="A37" s="44" t="s">
        <v>35</v>
      </c>
      <c r="B37" s="44"/>
      <c r="C37" s="29">
        <f>C33*60/(3.1416*C5)</f>
        <v>2.9602750190985487</v>
      </c>
      <c r="D37" s="29">
        <f>D33*60/(3.1416*D5)</f>
        <v>0.95492742551566079</v>
      </c>
      <c r="E37" s="29">
        <f>E33*60/(3.1416*E5)</f>
        <v>0.66844919786096257</v>
      </c>
      <c r="F37" s="29">
        <f>F33*60/(3.1416*F5)</f>
        <v>0.47746371275783039</v>
      </c>
      <c r="G37" s="29">
        <f t="shared" ref="G37:N37" si="41">G33*60/(3.1416*G5)</f>
        <v>0.3883371530430354</v>
      </c>
      <c r="H37" s="29">
        <f t="shared" si="41"/>
        <v>0.33422459893048129</v>
      </c>
      <c r="I37" s="29">
        <f t="shared" si="41"/>
        <v>0.29984721161191752</v>
      </c>
      <c r="J37" s="29">
        <f t="shared" si="41"/>
        <v>0.2119938884644767</v>
      </c>
      <c r="K37" s="29">
        <f t="shared" si="41"/>
        <v>0.15040106951871657</v>
      </c>
      <c r="L37" s="29">
        <f t="shared" si="41"/>
        <v>0.12159409218232747</v>
      </c>
      <c r="M37" s="29">
        <f t="shared" si="41"/>
        <v>0.10623567608861727</v>
      </c>
      <c r="N37" s="29">
        <f t="shared" si="41"/>
        <v>9.4537815126050417E-2</v>
      </c>
      <c r="O37" s="46" t="s">
        <v>34</v>
      </c>
    </row>
    <row r="38" spans="1:15" x14ac:dyDescent="0.3">
      <c r="A38" s="44" t="s">
        <v>32</v>
      </c>
      <c r="B38" s="44"/>
      <c r="C38" s="31">
        <f>C37*C37*1.118*0.001*(C5/2)</f>
        <v>0.48986445574826915</v>
      </c>
      <c r="D38" s="31">
        <f>D37*D37*1.118*0.001*(D5/2)</f>
        <v>0.50974449089310003</v>
      </c>
      <c r="E38" s="31">
        <f>E37*E37*1.118*0.001*(E5/2)</f>
        <v>0.49954960107523816</v>
      </c>
      <c r="F38" s="31">
        <f>F37*F37*1.118*0.001*(F5/2)</f>
        <v>0.50974449089310003</v>
      </c>
      <c r="G38" s="31">
        <f t="shared" ref="G38:N38" si="42">G37*G37*1.118*0.001*(G5/2)</f>
        <v>0.50580246683019336</v>
      </c>
      <c r="H38" s="31">
        <f t="shared" si="42"/>
        <v>0.49954960107523816</v>
      </c>
      <c r="I38" s="31">
        <f t="shared" si="42"/>
        <v>0.50258767824096107</v>
      </c>
      <c r="J38" s="31">
        <f t="shared" si="42"/>
        <v>0.50244494978351084</v>
      </c>
      <c r="K38" s="31">
        <f t="shared" si="42"/>
        <v>0.50579397108867852</v>
      </c>
      <c r="L38" s="31">
        <f t="shared" si="42"/>
        <v>0.49589303392723161</v>
      </c>
      <c r="M38" s="31">
        <f t="shared" si="42"/>
        <v>0.50471076404553084</v>
      </c>
      <c r="N38" s="31">
        <f t="shared" si="42"/>
        <v>0.49960057552432735</v>
      </c>
      <c r="O38" s="46"/>
    </row>
    <row r="39" spans="1:15" hidden="1" x14ac:dyDescent="0.3">
      <c r="A39" s="44" t="s">
        <v>130</v>
      </c>
      <c r="B39" s="44"/>
      <c r="C39" s="32">
        <v>4</v>
      </c>
      <c r="D39" s="32">
        <v>16</v>
      </c>
      <c r="E39" s="32"/>
      <c r="F39" s="32">
        <v>1000</v>
      </c>
      <c r="G39" s="32">
        <v>1001</v>
      </c>
      <c r="H39" s="32">
        <v>1002</v>
      </c>
      <c r="I39" s="32">
        <v>1003</v>
      </c>
      <c r="J39" s="32">
        <v>1004</v>
      </c>
      <c r="K39" s="32">
        <v>1005</v>
      </c>
      <c r="L39" s="32">
        <v>1006</v>
      </c>
      <c r="M39" s="32">
        <v>1007</v>
      </c>
      <c r="N39" s="32">
        <v>1008</v>
      </c>
    </row>
    <row r="40" spans="1:15" hidden="1" x14ac:dyDescent="0.3">
      <c r="A40" s="44" t="s">
        <v>29</v>
      </c>
      <c r="B40" s="44"/>
      <c r="C40" s="53">
        <f>C41/C39</f>
        <v>0.33542</v>
      </c>
      <c r="D40" s="53">
        <f t="shared" ref="D40:F40" si="43">D41/D39</f>
        <v>284</v>
      </c>
      <c r="E40" s="53"/>
      <c r="F40" s="53">
        <f t="shared" si="43"/>
        <v>568000</v>
      </c>
      <c r="G40" s="53">
        <f t="shared" ref="G40:N40" si="44">G41/G39</f>
        <v>0</v>
      </c>
      <c r="H40" s="53">
        <f t="shared" si="44"/>
        <v>0</v>
      </c>
      <c r="I40" s="53">
        <f t="shared" si="44"/>
        <v>0</v>
      </c>
      <c r="J40" s="53">
        <f t="shared" si="44"/>
        <v>255300</v>
      </c>
      <c r="K40" s="53">
        <f t="shared" si="44"/>
        <v>94500</v>
      </c>
      <c r="L40" s="53">
        <f t="shared" si="44"/>
        <v>114600</v>
      </c>
      <c r="M40" s="53">
        <f t="shared" si="44"/>
        <v>0</v>
      </c>
      <c r="N40" s="53">
        <f t="shared" si="44"/>
        <v>0</v>
      </c>
    </row>
    <row r="41" spans="1:15" hidden="1" x14ac:dyDescent="0.3">
      <c r="A41" s="44" t="s">
        <v>28</v>
      </c>
      <c r="B41" s="44"/>
      <c r="C41" s="53">
        <f>SUM(C36*C51*C39)/1000000</f>
        <v>1.34168</v>
      </c>
      <c r="D41" s="53">
        <f>SUM(D36*D51*D39)/1000000</f>
        <v>4544</v>
      </c>
      <c r="E41" s="53"/>
      <c r="F41" s="53">
        <f>SUM(F36*F51*F39)/1000000</f>
        <v>568000000</v>
      </c>
      <c r="G41" s="53">
        <f t="shared" ref="G41:N41" si="45">SUM(G36*G51*G39)/1000000</f>
        <v>0</v>
      </c>
      <c r="H41" s="53">
        <f t="shared" si="45"/>
        <v>0</v>
      </c>
      <c r="I41" s="53">
        <f t="shared" si="45"/>
        <v>0</v>
      </c>
      <c r="J41" s="53">
        <f t="shared" si="45"/>
        <v>256321200</v>
      </c>
      <c r="K41" s="53">
        <f t="shared" si="45"/>
        <v>94972500</v>
      </c>
      <c r="L41" s="53">
        <f t="shared" si="45"/>
        <v>115287600</v>
      </c>
      <c r="M41" s="53">
        <f t="shared" si="45"/>
        <v>0</v>
      </c>
      <c r="N41" s="53">
        <f t="shared" si="45"/>
        <v>0</v>
      </c>
    </row>
    <row r="42" spans="1:15" hidden="1" x14ac:dyDescent="0.3">
      <c r="A42" s="44" t="s">
        <v>28</v>
      </c>
      <c r="B42" s="44"/>
      <c r="C42" s="28">
        <f>C41/1000</f>
        <v>1.34168E-3</v>
      </c>
      <c r="D42" s="28">
        <f t="shared" ref="D42:F42" si="46">D41/1000</f>
        <v>4.5439999999999996</v>
      </c>
      <c r="E42" s="28"/>
      <c r="F42" s="28">
        <f t="shared" si="46"/>
        <v>568000</v>
      </c>
      <c r="G42" s="28">
        <f t="shared" ref="G42:N42" si="47">G41/1000</f>
        <v>0</v>
      </c>
      <c r="H42" s="28">
        <f t="shared" si="47"/>
        <v>0</v>
      </c>
      <c r="I42" s="28">
        <f t="shared" si="47"/>
        <v>0</v>
      </c>
      <c r="J42" s="28">
        <f t="shared" si="47"/>
        <v>256321.2</v>
      </c>
      <c r="K42" s="28">
        <f t="shared" si="47"/>
        <v>94972.5</v>
      </c>
      <c r="L42" s="28">
        <f t="shared" si="47"/>
        <v>115287.6</v>
      </c>
      <c r="M42" s="28">
        <f t="shared" si="47"/>
        <v>0</v>
      </c>
      <c r="N42" s="28">
        <f t="shared" si="47"/>
        <v>0</v>
      </c>
    </row>
    <row r="43" spans="1:15" hidden="1" x14ac:dyDescent="0.3">
      <c r="A43" s="44" t="s">
        <v>26</v>
      </c>
      <c r="B43" s="44"/>
      <c r="C43" s="23">
        <v>0.9</v>
      </c>
      <c r="D43" s="23">
        <v>0.9</v>
      </c>
      <c r="E43" s="23"/>
      <c r="F43" s="23">
        <v>0.9</v>
      </c>
      <c r="G43" s="23">
        <v>1.9</v>
      </c>
      <c r="H43" s="23">
        <v>2.9</v>
      </c>
      <c r="I43" s="23">
        <v>3.9</v>
      </c>
      <c r="J43" s="23">
        <v>4.9000000000000004</v>
      </c>
      <c r="K43" s="23">
        <v>5.9</v>
      </c>
      <c r="L43" s="23">
        <v>6.9</v>
      </c>
      <c r="M43" s="23">
        <v>7.9</v>
      </c>
      <c r="N43" s="23">
        <v>8.9</v>
      </c>
    </row>
    <row r="44" spans="1:15" hidden="1" x14ac:dyDescent="0.3">
      <c r="A44" s="45" t="s">
        <v>120</v>
      </c>
      <c r="B44" s="45"/>
      <c r="C44" s="66">
        <f t="shared" ref="C44:D44" si="48">C12/(C34*C35/1000)/1000</f>
        <v>1.5349429200000393</v>
      </c>
      <c r="D44" s="66">
        <f t="shared" si="48"/>
        <v>1.5342572999999999</v>
      </c>
      <c r="E44" s="66"/>
      <c r="F44" s="66">
        <f>F12/(F34*F35/1000)/1000</f>
        <v>0.87857492000000004</v>
      </c>
      <c r="G44" s="66">
        <f t="shared" ref="G44:N44" si="49">G12/(G34*G35/1000)/1000</f>
        <v>1.4844007332000002</v>
      </c>
      <c r="H44" s="66">
        <f t="shared" si="49"/>
        <v>2.2083786047999996</v>
      </c>
      <c r="I44" s="66">
        <f t="shared" si="49"/>
        <v>3.0565025347999999</v>
      </c>
      <c r="J44" s="66">
        <f t="shared" si="49"/>
        <v>6.7306961232000004</v>
      </c>
      <c r="K44" s="66">
        <f t="shared" si="49"/>
        <v>14.731776569999999</v>
      </c>
      <c r="L44" s="66">
        <f t="shared" si="49"/>
        <v>24.055533875199998</v>
      </c>
      <c r="M44" s="66">
        <f t="shared" si="49"/>
        <v>34.761962038800007</v>
      </c>
      <c r="N44" s="66">
        <f t="shared" si="49"/>
        <v>46.911055060799995</v>
      </c>
    </row>
    <row r="45" spans="1:15" hidden="1" x14ac:dyDescent="0.3">
      <c r="A45" s="44" t="s">
        <v>23</v>
      </c>
      <c r="B45" s="44"/>
      <c r="C45" s="28">
        <f>((C44*1000)/C37)/60/24/C39/C43*1000</f>
        <v>100.02191767622716</v>
      </c>
      <c r="D45" s="28">
        <f t="shared" ref="D45:F45" si="50">((D44*1000)/D37)/60/24/D39/D43*1000</f>
        <v>77.482361331018538</v>
      </c>
      <c r="E45" s="28"/>
      <c r="F45" s="28">
        <f t="shared" si="50"/>
        <v>1.4198204571358026</v>
      </c>
      <c r="G45" s="28">
        <f t="shared" ref="G45:N45" si="51">((G44*1000)/G37)/60/24/G39/G43*1000</f>
        <v>1.3956998995818677</v>
      </c>
      <c r="H45" s="28">
        <f t="shared" si="51"/>
        <v>1.5790900922201572</v>
      </c>
      <c r="I45" s="28">
        <f t="shared" si="51"/>
        <v>1.8096588607402608</v>
      </c>
      <c r="J45" s="28">
        <f t="shared" si="51"/>
        <v>4.4817162603639504</v>
      </c>
      <c r="K45" s="28">
        <f t="shared" si="51"/>
        <v>11.471590441140188</v>
      </c>
      <c r="L45" s="28">
        <f t="shared" si="51"/>
        <v>19.792149449608846</v>
      </c>
      <c r="M45" s="28">
        <f t="shared" si="51"/>
        <v>28.5637248492928</v>
      </c>
      <c r="N45" s="28">
        <f t="shared" si="51"/>
        <v>38.411087993480372</v>
      </c>
    </row>
    <row r="46" spans="1:15" hidden="1" x14ac:dyDescent="0.3">
      <c r="A46" s="45" t="s">
        <v>23</v>
      </c>
      <c r="B46" s="45"/>
      <c r="C46" s="37">
        <f>SUM(C45)/365</f>
        <v>0.27403265116774567</v>
      </c>
      <c r="D46" s="37">
        <f t="shared" ref="D46:F46" si="52">SUM(D45)/365</f>
        <v>0.2122804420027905</v>
      </c>
      <c r="E46" s="37"/>
      <c r="F46" s="37">
        <f t="shared" si="52"/>
        <v>3.8899190606460346E-3</v>
      </c>
      <c r="G46" s="37">
        <f t="shared" ref="G46:N46" si="53">SUM(G45)/365</f>
        <v>3.8238353413201855E-3</v>
      </c>
      <c r="H46" s="37">
        <f t="shared" si="53"/>
        <v>4.3262742252607048E-3</v>
      </c>
      <c r="I46" s="37">
        <f t="shared" si="53"/>
        <v>4.9579694814801669E-3</v>
      </c>
      <c r="J46" s="37">
        <f t="shared" si="53"/>
        <v>1.2278674685928631E-2</v>
      </c>
      <c r="K46" s="37">
        <f t="shared" si="53"/>
        <v>3.1429014907233391E-2</v>
      </c>
      <c r="L46" s="37">
        <f t="shared" si="53"/>
        <v>5.4225066985229713E-2</v>
      </c>
      <c r="M46" s="37">
        <f t="shared" si="53"/>
        <v>7.825678040902137E-2</v>
      </c>
      <c r="N46" s="37">
        <f t="shared" si="53"/>
        <v>0.10523585751638458</v>
      </c>
    </row>
    <row r="47" spans="1:15" hidden="1" x14ac:dyDescent="0.3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</row>
    <row r="48" spans="1:15" ht="21" hidden="1" x14ac:dyDescent="0.3">
      <c r="A48" s="70" t="s">
        <v>124</v>
      </c>
      <c r="B48" s="10"/>
      <c r="G48" s="4"/>
      <c r="H48" s="4"/>
      <c r="I48" s="4"/>
      <c r="J48" s="4"/>
      <c r="K48" s="4"/>
      <c r="L48" s="4"/>
      <c r="M48" s="4"/>
      <c r="N48" s="4"/>
    </row>
    <row r="49" spans="1:14" hidden="1" x14ac:dyDescent="0.3">
      <c r="G49" s="4"/>
      <c r="H49" s="4"/>
      <c r="I49" s="4"/>
      <c r="J49" s="4"/>
      <c r="K49" s="4"/>
      <c r="L49" s="4"/>
      <c r="M49" s="4"/>
      <c r="N49" s="4"/>
    </row>
    <row r="50" spans="1:14" hidden="1" x14ac:dyDescent="0.3">
      <c r="A50" s="44" t="s">
        <v>56</v>
      </c>
      <c r="B50" s="44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</row>
    <row r="51" spans="1:14" hidden="1" x14ac:dyDescent="0.3">
      <c r="A51" s="44" t="s">
        <v>55</v>
      </c>
      <c r="B51" s="44"/>
      <c r="C51" s="71">
        <f>'Materials Properties'!E23</f>
        <v>2705</v>
      </c>
      <c r="D51" s="71">
        <f>'Materials Properties'!F23</f>
        <v>2840</v>
      </c>
      <c r="E51" s="71"/>
      <c r="F51" s="71">
        <f>'Materials Properties'!G23</f>
        <v>2840</v>
      </c>
      <c r="G51" s="71">
        <f>'Materials Properties'!H23</f>
        <v>0</v>
      </c>
      <c r="H51" s="71">
        <f>'Materials Properties'!I23</f>
        <v>0</v>
      </c>
      <c r="I51" s="71">
        <f>'Materials Properties'!J23</f>
        <v>0</v>
      </c>
      <c r="J51" s="71">
        <f>'Materials Properties'!K23</f>
        <v>575</v>
      </c>
      <c r="K51" s="71">
        <f>'Materials Properties'!L23</f>
        <v>150</v>
      </c>
      <c r="L51" s="71">
        <f>'Materials Properties'!M23</f>
        <v>150</v>
      </c>
      <c r="M51" s="71">
        <f>'Materials Properties'!N23</f>
        <v>0</v>
      </c>
      <c r="N51" s="71">
        <f>'Materials Properties'!O23</f>
        <v>0</v>
      </c>
    </row>
    <row r="52" spans="1:14" hidden="1" x14ac:dyDescent="0.3">
      <c r="A52" s="44" t="s">
        <v>52</v>
      </c>
      <c r="B52" s="44"/>
      <c r="C52" s="23">
        <v>0.5</v>
      </c>
      <c r="D52" s="23">
        <v>1</v>
      </c>
      <c r="E52" s="23"/>
      <c r="F52" s="23">
        <v>1</v>
      </c>
      <c r="G52" s="23">
        <v>2</v>
      </c>
      <c r="H52" s="23">
        <v>3</v>
      </c>
      <c r="I52" s="23">
        <v>4</v>
      </c>
      <c r="J52" s="23">
        <v>5</v>
      </c>
      <c r="K52" s="23">
        <v>6</v>
      </c>
      <c r="L52" s="23">
        <v>7</v>
      </c>
      <c r="M52" s="23">
        <v>8</v>
      </c>
      <c r="N52" s="23">
        <v>9</v>
      </c>
    </row>
    <row r="53" spans="1:14" hidden="1" x14ac:dyDescent="0.3">
      <c r="A53" s="45" t="s">
        <v>51</v>
      </c>
      <c r="B53" s="45"/>
      <c r="C53" s="26">
        <f>SUM(C22)*C51/1000*C52</f>
        <v>493.61559780681034</v>
      </c>
      <c r="D53" s="26">
        <f>SUM(D22)*D51/1000*D52</f>
        <v>2578648.0804761518</v>
      </c>
      <c r="E53" s="26"/>
      <c r="F53" s="26">
        <f>SUM(F22)*F51/1000*F52</f>
        <v>128499296030.73076</v>
      </c>
      <c r="G53" s="26">
        <f t="shared" ref="G53:N53" si="54">SUM(G22)*G51/1000*G52</f>
        <v>0</v>
      </c>
      <c r="H53" s="26">
        <f t="shared" si="54"/>
        <v>0</v>
      </c>
      <c r="I53" s="26">
        <f t="shared" si="54"/>
        <v>0</v>
      </c>
      <c r="J53" s="26">
        <f t="shared" si="54"/>
        <v>1172939001837.926</v>
      </c>
      <c r="K53" s="26">
        <f t="shared" si="54"/>
        <v>817360922081.0885</v>
      </c>
      <c r="L53" s="26">
        <f t="shared" si="54"/>
        <v>1565582812256.0103</v>
      </c>
      <c r="M53" s="26">
        <f t="shared" si="54"/>
        <v>0</v>
      </c>
      <c r="N53" s="26">
        <f t="shared" si="54"/>
        <v>0</v>
      </c>
    </row>
    <row r="54" spans="1:14" hidden="1" x14ac:dyDescent="0.3">
      <c r="A54" s="45" t="s">
        <v>152</v>
      </c>
      <c r="B54" s="45"/>
      <c r="C54" s="89">
        <f>C53/POWER(7.33,22)</f>
        <v>4.5824890138610897E-17</v>
      </c>
      <c r="D54" s="89">
        <f t="shared" ref="D54:F54" si="55">D53/POWER(7.33,22)</f>
        <v>2.3938924442214859E-13</v>
      </c>
      <c r="E54" s="89"/>
      <c r="F54" s="89">
        <f t="shared" si="55"/>
        <v>1.1929254565010089E-8</v>
      </c>
      <c r="G54" s="89">
        <f t="shared" ref="G54:N54" si="56">G53/POWER(7.33,22)</f>
        <v>0</v>
      </c>
      <c r="H54" s="89">
        <f t="shared" si="56"/>
        <v>0</v>
      </c>
      <c r="I54" s="89">
        <f t="shared" si="56"/>
        <v>0</v>
      </c>
      <c r="J54" s="89">
        <f t="shared" si="56"/>
        <v>1.0888999686665353E-7</v>
      </c>
      <c r="K54" s="89">
        <f t="shared" si="56"/>
        <v>7.5879843798248007E-8</v>
      </c>
      <c r="L54" s="89">
        <f t="shared" si="56"/>
        <v>1.4534115350748614E-7</v>
      </c>
      <c r="M54" s="89">
        <f t="shared" si="56"/>
        <v>0</v>
      </c>
      <c r="N54" s="89">
        <f t="shared" si="56"/>
        <v>0</v>
      </c>
    </row>
    <row r="55" spans="1:14" hidden="1" x14ac:dyDescent="0.3">
      <c r="A55" s="45" t="s">
        <v>115</v>
      </c>
      <c r="B55" s="45"/>
      <c r="C55" s="66">
        <f>C53/C45</f>
        <v>4.9350743244560995</v>
      </c>
      <c r="D55" s="66">
        <f>D53/D45</f>
        <v>33280.452946699763</v>
      </c>
      <c r="E55" s="66"/>
      <c r="F55" s="66">
        <f>F53/F45</f>
        <v>90503905183.865158</v>
      </c>
      <c r="G55" s="66">
        <f t="shared" ref="G55:N55" si="57">G53/G45</f>
        <v>0</v>
      </c>
      <c r="H55" s="66">
        <f t="shared" si="57"/>
        <v>0</v>
      </c>
      <c r="I55" s="66">
        <f t="shared" si="57"/>
        <v>0</v>
      </c>
      <c r="J55" s="66">
        <f t="shared" si="57"/>
        <v>261716479512.84497</v>
      </c>
      <c r="K55" s="66">
        <f t="shared" si="57"/>
        <v>71250880710.473572</v>
      </c>
      <c r="L55" s="66">
        <f t="shared" si="57"/>
        <v>79101202031.745514</v>
      </c>
      <c r="M55" s="66">
        <f t="shared" si="57"/>
        <v>0</v>
      </c>
      <c r="N55" s="66">
        <f t="shared" si="57"/>
        <v>0</v>
      </c>
    </row>
    <row r="56" spans="1:14" hidden="1" x14ac:dyDescent="0.3">
      <c r="A56" s="45" t="s">
        <v>48</v>
      </c>
      <c r="B56" s="45"/>
      <c r="C56" s="26">
        <f>SUM(C53/64)</f>
        <v>7.7127437157314116</v>
      </c>
      <c r="D56" s="26">
        <f t="shared" ref="D56:F56" si="58">SUM(D53/64)</f>
        <v>40291.376257439872</v>
      </c>
      <c r="E56" s="26"/>
      <c r="F56" s="26">
        <f t="shared" si="58"/>
        <v>2007801500.4801681</v>
      </c>
      <c r="G56" s="26">
        <f t="shared" ref="G56:N56" si="59">SUM(G53/64)</f>
        <v>0</v>
      </c>
      <c r="H56" s="26">
        <f t="shared" si="59"/>
        <v>0</v>
      </c>
      <c r="I56" s="26">
        <f t="shared" si="59"/>
        <v>0</v>
      </c>
      <c r="J56" s="26">
        <f t="shared" si="59"/>
        <v>18327171903.717594</v>
      </c>
      <c r="K56" s="26">
        <f t="shared" si="59"/>
        <v>12771264407.517008</v>
      </c>
      <c r="L56" s="26">
        <f t="shared" si="59"/>
        <v>24462231441.50016</v>
      </c>
      <c r="M56" s="26">
        <f t="shared" si="59"/>
        <v>0</v>
      </c>
      <c r="N56" s="26">
        <f t="shared" si="59"/>
        <v>0</v>
      </c>
    </row>
    <row r="57" spans="1:14" hidden="1" x14ac:dyDescent="0.3">
      <c r="A57" s="44" t="s">
        <v>132</v>
      </c>
      <c r="B57" s="44"/>
      <c r="C57" s="87">
        <v>150</v>
      </c>
      <c r="D57" s="87">
        <v>150</v>
      </c>
      <c r="E57" s="87"/>
      <c r="F57" s="87">
        <v>150</v>
      </c>
      <c r="G57" s="87">
        <v>151</v>
      </c>
      <c r="H57" s="87">
        <v>152</v>
      </c>
      <c r="I57" s="87">
        <v>153</v>
      </c>
      <c r="J57" s="87">
        <v>154</v>
      </c>
      <c r="K57" s="87">
        <v>155</v>
      </c>
      <c r="L57" s="87">
        <v>156</v>
      </c>
      <c r="M57" s="87">
        <v>157</v>
      </c>
      <c r="N57" s="87">
        <v>158</v>
      </c>
    </row>
    <row r="58" spans="1:14" hidden="1" x14ac:dyDescent="0.3">
      <c r="A58" s="45" t="s">
        <v>46</v>
      </c>
      <c r="B58" s="45"/>
      <c r="C58" s="37">
        <f>SUM(365/(C56/C46))</f>
        <v>12.968396379127181</v>
      </c>
      <c r="D58" s="37">
        <f>SUM(365/(D56/D46))</f>
        <v>1.9230507500153033E-3</v>
      </c>
      <c r="E58" s="37"/>
      <c r="F58" s="37">
        <f>SUM(365/(F56/F46))</f>
        <v>7.0715180599090639E-10</v>
      </c>
      <c r="G58" s="37" t="e">
        <f t="shared" ref="G58:N58" si="60">SUM(365/(G56/G46))</f>
        <v>#DIV/0!</v>
      </c>
      <c r="H58" s="37" t="e">
        <f t="shared" si="60"/>
        <v>#DIV/0!</v>
      </c>
      <c r="I58" s="37" t="e">
        <f t="shared" si="60"/>
        <v>#DIV/0!</v>
      </c>
      <c r="J58" s="37">
        <f t="shared" si="60"/>
        <v>2.4453943488437797E-10</v>
      </c>
      <c r="K58" s="37">
        <f t="shared" si="60"/>
        <v>8.9823451109415227E-10</v>
      </c>
      <c r="L58" s="37">
        <f t="shared" si="60"/>
        <v>8.0909010680160092E-10</v>
      </c>
      <c r="M58" s="37" t="e">
        <f t="shared" si="60"/>
        <v>#DIV/0!</v>
      </c>
      <c r="N58" s="37" t="e">
        <f t="shared" si="60"/>
        <v>#DIV/0!</v>
      </c>
    </row>
    <row r="59" spans="1:14" hidden="1" x14ac:dyDescent="0.3">
      <c r="A59" s="45" t="s">
        <v>114</v>
      </c>
      <c r="B59" s="45"/>
      <c r="C59" s="66">
        <f>SUM(C56*C57/1000)</f>
        <v>1.1569115573597117</v>
      </c>
      <c r="D59" s="66">
        <f t="shared" ref="D59:F59" si="61">SUM(D56*D57/1000)</f>
        <v>6043.7064386159809</v>
      </c>
      <c r="E59" s="66"/>
      <c r="F59" s="66">
        <f t="shared" si="61"/>
        <v>301170225.07202518</v>
      </c>
      <c r="G59" s="66">
        <f t="shared" ref="G59:N59" si="62">SUM(G56*G57/1000)</f>
        <v>0</v>
      </c>
      <c r="H59" s="66">
        <f t="shared" si="62"/>
        <v>0</v>
      </c>
      <c r="I59" s="66">
        <f t="shared" si="62"/>
        <v>0</v>
      </c>
      <c r="J59" s="66">
        <f t="shared" si="62"/>
        <v>2822384473.1725092</v>
      </c>
      <c r="K59" s="66">
        <f t="shared" si="62"/>
        <v>1979545983.1651363</v>
      </c>
      <c r="L59" s="66">
        <f t="shared" si="62"/>
        <v>3816108104.8740249</v>
      </c>
      <c r="M59" s="66">
        <f t="shared" si="62"/>
        <v>0</v>
      </c>
      <c r="N59" s="66">
        <f t="shared" si="62"/>
        <v>0</v>
      </c>
    </row>
    <row r="60" spans="1:14" hidden="1" x14ac:dyDescent="0.3">
      <c r="G60" s="4"/>
      <c r="H60" s="4"/>
      <c r="I60" s="4"/>
      <c r="J60" s="4"/>
      <c r="K60" s="4"/>
      <c r="L60" s="4"/>
      <c r="M60" s="4"/>
      <c r="N60" s="4"/>
    </row>
    <row r="61" spans="1:14" ht="21" hidden="1" x14ac:dyDescent="0.3">
      <c r="A61" s="70" t="s">
        <v>21</v>
      </c>
      <c r="B61" s="10"/>
      <c r="G61" s="4"/>
      <c r="H61" s="4"/>
      <c r="I61" s="4"/>
      <c r="J61" s="4"/>
      <c r="K61" s="4"/>
      <c r="L61" s="4"/>
      <c r="M61" s="4"/>
      <c r="N61" s="4"/>
    </row>
    <row r="62" spans="1:14" hidden="1" x14ac:dyDescent="0.3">
      <c r="G62" s="4"/>
      <c r="H62" s="4"/>
      <c r="I62" s="4"/>
      <c r="J62" s="4"/>
      <c r="K62" s="4"/>
      <c r="L62" s="4"/>
      <c r="M62" s="4"/>
      <c r="N62" s="4"/>
    </row>
    <row r="63" spans="1:14" hidden="1" x14ac:dyDescent="0.3">
      <c r="A63" s="54" t="s">
        <v>20</v>
      </c>
      <c r="B63" s="54"/>
      <c r="C63" s="72">
        <f>'Materials Properties'!K$23*3600/1000000</f>
        <v>2.0699999999999998</v>
      </c>
      <c r="D63" s="72">
        <f>'Materials Properties'!L$23*3600/1000000</f>
        <v>0.54</v>
      </c>
      <c r="E63" s="72"/>
      <c r="F63" s="72">
        <f>'Materials Properties'!M$23*3600/1000000</f>
        <v>0.54</v>
      </c>
      <c r="G63" s="72">
        <f>'Materials Properties'!N$23*3600/1000000</f>
        <v>0</v>
      </c>
      <c r="H63" s="72">
        <f>'Materials Properties'!O$23*3600/1000000</f>
        <v>0</v>
      </c>
      <c r="I63" s="72">
        <f>'Materials Properties'!P$23*3600/1000000</f>
        <v>0</v>
      </c>
      <c r="J63" s="72">
        <f>'Materials Properties'!Q$23*3600/1000000</f>
        <v>0</v>
      </c>
      <c r="K63" s="72">
        <f>'Materials Properties'!R$23*3600/1000000</f>
        <v>0</v>
      </c>
      <c r="L63" s="72">
        <f>'Materials Properties'!S$23*3600/1000000</f>
        <v>0</v>
      </c>
      <c r="M63" s="72">
        <f>'Materials Properties'!T$23*3600/1000000</f>
        <v>0</v>
      </c>
      <c r="N63" s="72">
        <f>'Materials Properties'!U$23*3600/1000000</f>
        <v>0</v>
      </c>
    </row>
    <row r="64" spans="1:14" hidden="1" x14ac:dyDescent="0.3">
      <c r="A64" s="54" t="s">
        <v>18</v>
      </c>
      <c r="B64" s="54"/>
      <c r="C64" s="21">
        <f>SUM(C53*C63)</f>
        <v>1021.7842874600973</v>
      </c>
      <c r="D64" s="21">
        <f>SUM(D53*D63)</f>
        <v>1392469.963457122</v>
      </c>
      <c r="E64" s="21"/>
      <c r="F64" s="21">
        <f>SUM(F53*F63)</f>
        <v>69389619856.59462</v>
      </c>
      <c r="G64" s="21">
        <f t="shared" ref="G64:N64" si="63">SUM(G53*G63)</f>
        <v>0</v>
      </c>
      <c r="H64" s="21">
        <f t="shared" si="63"/>
        <v>0</v>
      </c>
      <c r="I64" s="21">
        <f t="shared" si="63"/>
        <v>0</v>
      </c>
      <c r="J64" s="21">
        <f t="shared" si="63"/>
        <v>0</v>
      </c>
      <c r="K64" s="21">
        <f t="shared" si="63"/>
        <v>0</v>
      </c>
      <c r="L64" s="21">
        <f t="shared" si="63"/>
        <v>0</v>
      </c>
      <c r="M64" s="21">
        <f t="shared" si="63"/>
        <v>0</v>
      </c>
      <c r="N64" s="21">
        <f t="shared" si="63"/>
        <v>0</v>
      </c>
    </row>
    <row r="65" spans="1:14" hidden="1" x14ac:dyDescent="0.3">
      <c r="A65" s="54" t="s">
        <v>107</v>
      </c>
      <c r="B65" s="54"/>
      <c r="C65" s="43">
        <v>0.7</v>
      </c>
      <c r="D65" s="43">
        <v>0.7</v>
      </c>
      <c r="E65" s="43"/>
      <c r="F65" s="43">
        <v>0.7</v>
      </c>
      <c r="G65" s="43">
        <v>1.7</v>
      </c>
      <c r="H65" s="43">
        <v>2.7</v>
      </c>
      <c r="I65" s="43">
        <v>3.7</v>
      </c>
      <c r="J65" s="43">
        <v>4.7</v>
      </c>
      <c r="K65" s="43">
        <v>5.7</v>
      </c>
      <c r="L65" s="43">
        <v>6.7</v>
      </c>
      <c r="M65" s="43">
        <v>7.7</v>
      </c>
      <c r="N65" s="43">
        <v>8.6999999999999993</v>
      </c>
    </row>
    <row r="66" spans="1:14" hidden="1" x14ac:dyDescent="0.3">
      <c r="A66" s="56" t="s">
        <v>16</v>
      </c>
      <c r="B66" s="56"/>
      <c r="C66" s="22">
        <f>C63*1000*C41/C65</f>
        <v>3967.5394285714287</v>
      </c>
      <c r="D66" s="22">
        <f t="shared" ref="D66:F66" si="64">D63*1000*D41/D65</f>
        <v>3505371.4285714286</v>
      </c>
      <c r="E66" s="22"/>
      <c r="F66" s="22">
        <f t="shared" si="64"/>
        <v>438171428571.42859</v>
      </c>
      <c r="G66" s="22">
        <f t="shared" ref="G66:N66" si="65">G63*1000*G41/G65</f>
        <v>0</v>
      </c>
      <c r="H66" s="22">
        <f t="shared" si="65"/>
        <v>0</v>
      </c>
      <c r="I66" s="22">
        <f t="shared" si="65"/>
        <v>0</v>
      </c>
      <c r="J66" s="22">
        <f t="shared" si="65"/>
        <v>0</v>
      </c>
      <c r="K66" s="22">
        <f t="shared" si="65"/>
        <v>0</v>
      </c>
      <c r="L66" s="22">
        <f t="shared" si="65"/>
        <v>0</v>
      </c>
      <c r="M66" s="22">
        <f t="shared" si="65"/>
        <v>0</v>
      </c>
      <c r="N66" s="22">
        <f t="shared" si="65"/>
        <v>0</v>
      </c>
    </row>
    <row r="67" spans="1:14" hidden="1" x14ac:dyDescent="0.3">
      <c r="A67" s="54" t="s">
        <v>13</v>
      </c>
      <c r="B67" s="54"/>
      <c r="C67" s="68">
        <v>1365</v>
      </c>
      <c r="D67" s="68">
        <v>1365</v>
      </c>
      <c r="E67" s="68"/>
      <c r="F67" s="68">
        <v>1365</v>
      </c>
      <c r="G67" s="68">
        <v>1366</v>
      </c>
      <c r="H67" s="68">
        <v>1367</v>
      </c>
      <c r="I67" s="68">
        <v>1368</v>
      </c>
      <c r="J67" s="68">
        <v>1369</v>
      </c>
      <c r="K67" s="68">
        <v>1370</v>
      </c>
      <c r="L67" s="68">
        <v>1371</v>
      </c>
      <c r="M67" s="68">
        <v>1372</v>
      </c>
      <c r="N67" s="68">
        <v>1373</v>
      </c>
    </row>
    <row r="68" spans="1:14" hidden="1" x14ac:dyDescent="0.3">
      <c r="A68" s="54" t="s">
        <v>10</v>
      </c>
      <c r="B68" s="54"/>
      <c r="C68" s="43">
        <v>0.4</v>
      </c>
      <c r="D68" s="43">
        <v>0.4</v>
      </c>
      <c r="E68" s="43"/>
      <c r="F68" s="43">
        <v>0.4</v>
      </c>
      <c r="G68" s="43">
        <v>1.4</v>
      </c>
      <c r="H68" s="43">
        <v>2.4</v>
      </c>
      <c r="I68" s="43">
        <v>3.4</v>
      </c>
      <c r="J68" s="43">
        <v>4.4000000000000004</v>
      </c>
      <c r="K68" s="43">
        <v>5.4</v>
      </c>
      <c r="L68" s="43">
        <v>6.4</v>
      </c>
      <c r="M68" s="43">
        <v>7.4</v>
      </c>
      <c r="N68" s="43">
        <v>8.4</v>
      </c>
    </row>
    <row r="69" spans="1:14" hidden="1" x14ac:dyDescent="0.3">
      <c r="A69" s="56" t="s">
        <v>148</v>
      </c>
      <c r="B69" s="56"/>
      <c r="C69" s="22">
        <f>SUM(C66/C67)*1000/C68</f>
        <v>7266.5557299843022</v>
      </c>
      <c r="D69" s="22">
        <f t="shared" ref="D69:F69" si="66">SUM(D66/D67)*1000/D68</f>
        <v>6420094.1915227631</v>
      </c>
      <c r="E69" s="22"/>
      <c r="F69" s="22">
        <f t="shared" si="66"/>
        <v>802511773940.34521</v>
      </c>
      <c r="G69" s="22">
        <f t="shared" ref="G69:N69" si="67">SUM(G66/G67)*1000/G68</f>
        <v>0</v>
      </c>
      <c r="H69" s="22">
        <f t="shared" si="67"/>
        <v>0</v>
      </c>
      <c r="I69" s="22">
        <f t="shared" si="67"/>
        <v>0</v>
      </c>
      <c r="J69" s="22">
        <f t="shared" si="67"/>
        <v>0</v>
      </c>
      <c r="K69" s="22">
        <f t="shared" si="67"/>
        <v>0</v>
      </c>
      <c r="L69" s="22">
        <f t="shared" si="67"/>
        <v>0</v>
      </c>
      <c r="M69" s="22">
        <f t="shared" si="67"/>
        <v>0</v>
      </c>
      <c r="N69" s="22">
        <f t="shared" si="67"/>
        <v>0</v>
      </c>
    </row>
    <row r="70" spans="1:14" hidden="1" x14ac:dyDescent="0.3">
      <c r="A70" s="54" t="s">
        <v>2</v>
      </c>
      <c r="B70" s="54"/>
      <c r="C70" s="21">
        <f>SQRT(C69)</f>
        <v>85.244094986012385</v>
      </c>
      <c r="D70" s="21">
        <f>SQRT(D69)</f>
        <v>2533.7904790102048</v>
      </c>
      <c r="E70" s="21"/>
      <c r="F70" s="21">
        <f>SQRT(F69)</f>
        <v>895830.21490701311</v>
      </c>
      <c r="G70" s="21">
        <f t="shared" ref="G70:N70" si="68">SQRT(G69)</f>
        <v>0</v>
      </c>
      <c r="H70" s="21">
        <f t="shared" si="68"/>
        <v>0</v>
      </c>
      <c r="I70" s="21">
        <f t="shared" si="68"/>
        <v>0</v>
      </c>
      <c r="J70" s="21">
        <f t="shared" si="68"/>
        <v>0</v>
      </c>
      <c r="K70" s="21">
        <f t="shared" si="68"/>
        <v>0</v>
      </c>
      <c r="L70" s="21">
        <f t="shared" si="68"/>
        <v>0</v>
      </c>
      <c r="M70" s="21">
        <f t="shared" si="68"/>
        <v>0</v>
      </c>
      <c r="N70" s="21">
        <f t="shared" si="68"/>
        <v>0</v>
      </c>
    </row>
    <row r="71" spans="1:14" hidden="1" x14ac:dyDescent="0.3">
      <c r="A71" s="54" t="s">
        <v>1</v>
      </c>
      <c r="B71" s="54"/>
      <c r="C71" s="21">
        <f>SQRT(C69*4/3.14)</f>
        <v>96.212051696758593</v>
      </c>
      <c r="D71" s="21">
        <f>SQRT(D69*4/3.14)</f>
        <v>2859.8013809083941</v>
      </c>
      <c r="E71" s="21"/>
      <c r="F71" s="21">
        <f>SQRT(F69*4/3.14)</f>
        <v>1011092.474643489</v>
      </c>
      <c r="G71" s="21">
        <f t="shared" ref="G71:N71" si="69">SQRT(G69*4/3.14)</f>
        <v>0</v>
      </c>
      <c r="H71" s="21">
        <f t="shared" si="69"/>
        <v>0</v>
      </c>
      <c r="I71" s="21">
        <f t="shared" si="69"/>
        <v>0</v>
      </c>
      <c r="J71" s="21">
        <f t="shared" si="69"/>
        <v>0</v>
      </c>
      <c r="K71" s="21">
        <f t="shared" si="69"/>
        <v>0</v>
      </c>
      <c r="L71" s="21">
        <f t="shared" si="69"/>
        <v>0</v>
      </c>
      <c r="M71" s="21">
        <f t="shared" si="69"/>
        <v>0</v>
      </c>
      <c r="N71" s="21">
        <f t="shared" si="69"/>
        <v>0</v>
      </c>
    </row>
    <row r="72" spans="1:14" hidden="1" x14ac:dyDescent="0.3">
      <c r="A72" s="56" t="s">
        <v>4</v>
      </c>
      <c r="B72" s="56"/>
      <c r="C72" s="22" t="e">
        <f>C66/#REF!*#REF!/C65</f>
        <v>#REF!</v>
      </c>
      <c r="D72" s="22" t="e">
        <f>D66/#REF!*#REF!/D65</f>
        <v>#REF!</v>
      </c>
      <c r="E72" s="22"/>
      <c r="F72" s="22" t="e">
        <f>F66/#REF!*#REF!/F65</f>
        <v>#REF!</v>
      </c>
      <c r="G72" s="22" t="e">
        <f>G66/#REF!*#REF!/G65</f>
        <v>#REF!</v>
      </c>
      <c r="H72" s="22" t="e">
        <f>H66/#REF!*#REF!/H65</f>
        <v>#REF!</v>
      </c>
      <c r="I72" s="22" t="e">
        <f>I66/#REF!*#REF!/I65</f>
        <v>#REF!</v>
      </c>
      <c r="J72" s="22" t="e">
        <f>J66/#REF!*#REF!/J65</f>
        <v>#REF!</v>
      </c>
      <c r="K72" s="22" t="e">
        <f>K66/#REF!*#REF!/K65</f>
        <v>#REF!</v>
      </c>
      <c r="L72" s="22" t="e">
        <f>L66/#REF!*#REF!/L65</f>
        <v>#REF!</v>
      </c>
      <c r="M72" s="22" t="e">
        <f>M66/#REF!*#REF!/M65</f>
        <v>#REF!</v>
      </c>
      <c r="N72" s="22" t="e">
        <f>N66/#REF!*#REF!/N65</f>
        <v>#REF!</v>
      </c>
    </row>
    <row r="73" spans="1:14" hidden="1" x14ac:dyDescent="0.3">
      <c r="A73" s="54" t="s">
        <v>2</v>
      </c>
      <c r="B73" s="54"/>
      <c r="C73" s="21" t="e">
        <f>SQRT(C72)</f>
        <v>#REF!</v>
      </c>
      <c r="D73" s="21" t="e">
        <f>SQRT(D72)</f>
        <v>#REF!</v>
      </c>
      <c r="E73" s="21"/>
      <c r="F73" s="21" t="e">
        <f>SQRT(F72)</f>
        <v>#REF!</v>
      </c>
      <c r="G73" s="21" t="e">
        <f t="shared" ref="G73:N73" si="70">SQRT(G72)</f>
        <v>#REF!</v>
      </c>
      <c r="H73" s="21" t="e">
        <f t="shared" si="70"/>
        <v>#REF!</v>
      </c>
      <c r="I73" s="21" t="e">
        <f t="shared" si="70"/>
        <v>#REF!</v>
      </c>
      <c r="J73" s="21" t="e">
        <f t="shared" si="70"/>
        <v>#REF!</v>
      </c>
      <c r="K73" s="21" t="e">
        <f t="shared" si="70"/>
        <v>#REF!</v>
      </c>
      <c r="L73" s="21" t="e">
        <f t="shared" si="70"/>
        <v>#REF!</v>
      </c>
      <c r="M73" s="21" t="e">
        <f t="shared" si="70"/>
        <v>#REF!</v>
      </c>
      <c r="N73" s="21" t="e">
        <f t="shared" si="70"/>
        <v>#REF!</v>
      </c>
    </row>
    <row r="74" spans="1:14" hidden="1" x14ac:dyDescent="0.3">
      <c r="A74" s="54" t="s">
        <v>1</v>
      </c>
      <c r="B74" s="54"/>
      <c r="C74" s="21" t="e">
        <f>SQRT(C72*4/3.14)</f>
        <v>#REF!</v>
      </c>
      <c r="D74" s="21" t="e">
        <f>SQRT(D72*4/3.14)</f>
        <v>#REF!</v>
      </c>
      <c r="E74" s="21"/>
      <c r="F74" s="21" t="e">
        <f>SQRT(F72*4/3.14)</f>
        <v>#REF!</v>
      </c>
      <c r="G74" s="21" t="e">
        <f t="shared" ref="G74:N74" si="71">SQRT(G72*4/3.14)</f>
        <v>#REF!</v>
      </c>
      <c r="H74" s="21" t="e">
        <f t="shared" si="71"/>
        <v>#REF!</v>
      </c>
      <c r="I74" s="21" t="e">
        <f t="shared" si="71"/>
        <v>#REF!</v>
      </c>
      <c r="J74" s="21" t="e">
        <f t="shared" si="71"/>
        <v>#REF!</v>
      </c>
      <c r="K74" s="21" t="e">
        <f t="shared" si="71"/>
        <v>#REF!</v>
      </c>
      <c r="L74" s="21" t="e">
        <f t="shared" si="71"/>
        <v>#REF!</v>
      </c>
      <c r="M74" s="21" t="e">
        <f t="shared" si="71"/>
        <v>#REF!</v>
      </c>
      <c r="N74" s="21" t="e">
        <f t="shared" si="71"/>
        <v>#REF!</v>
      </c>
    </row>
    <row r="75" spans="1:14" hidden="1" x14ac:dyDescent="0.3">
      <c r="G75" s="4"/>
      <c r="H75" s="4"/>
      <c r="I75" s="4"/>
      <c r="J75" s="4"/>
      <c r="K75" s="4"/>
      <c r="L75" s="4"/>
      <c r="M75" s="4"/>
      <c r="N75" s="4"/>
    </row>
    <row r="76" spans="1:14" hidden="1" x14ac:dyDescent="0.3">
      <c r="A76" s="27" t="s">
        <v>109</v>
      </c>
      <c r="G76" s="4"/>
      <c r="H76" s="4"/>
      <c r="I76" s="4"/>
      <c r="J76" s="4"/>
      <c r="K76" s="4"/>
      <c r="L76" s="4"/>
      <c r="M76" s="4"/>
      <c r="N76" s="4"/>
    </row>
    <row r="77" spans="1:14" hidden="1" x14ac:dyDescent="0.3">
      <c r="A77" s="68" t="s">
        <v>110</v>
      </c>
      <c r="G77" s="4"/>
      <c r="H77" s="4"/>
      <c r="I77" s="4"/>
      <c r="J77" s="4"/>
      <c r="K77" s="4"/>
      <c r="L77" s="4"/>
      <c r="M77" s="4"/>
      <c r="N77" s="4"/>
    </row>
    <row r="78" spans="1:14" hidden="1" x14ac:dyDescent="0.3">
      <c r="A78" s="21" t="s">
        <v>117</v>
      </c>
      <c r="G78" s="4"/>
      <c r="H78" s="4"/>
      <c r="I78" s="4"/>
      <c r="J78" s="4"/>
      <c r="K78" s="4"/>
      <c r="L78" s="4"/>
      <c r="M78" s="4"/>
      <c r="N78" s="4"/>
    </row>
    <row r="79" spans="1:14" hidden="1" x14ac:dyDescent="0.3">
      <c r="G79" s="4"/>
      <c r="H79" s="4"/>
      <c r="I79" s="4"/>
      <c r="J79" s="4"/>
      <c r="K79" s="4"/>
      <c r="L79" s="4"/>
      <c r="M79" s="4"/>
      <c r="N79" s="4"/>
    </row>
    <row r="80" spans="1:14" hidden="1" x14ac:dyDescent="0.3">
      <c r="G80" s="4"/>
      <c r="H80" s="4"/>
      <c r="I80" s="4"/>
      <c r="J80" s="4"/>
      <c r="K80" s="4"/>
      <c r="L80" s="4"/>
      <c r="M80" s="4"/>
      <c r="N80" s="4"/>
    </row>
    <row r="81" spans="1:14" hidden="1" x14ac:dyDescent="0.3">
      <c r="G81" s="4"/>
      <c r="H81" s="4"/>
      <c r="I81" s="4"/>
      <c r="J81" s="4"/>
      <c r="K81" s="4"/>
      <c r="L81" s="4"/>
      <c r="M81" s="4"/>
      <c r="N81" s="4"/>
    </row>
    <row r="82" spans="1:14" x14ac:dyDescent="0.3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4" spans="1:14" x14ac:dyDescent="0.3">
      <c r="C84" s="85">
        <f>C5</f>
        <v>100</v>
      </c>
      <c r="D84" s="85">
        <f t="shared" ref="D84:N84" si="72">D5</f>
        <v>1000</v>
      </c>
      <c r="E84" s="85">
        <f t="shared" si="72"/>
        <v>2000</v>
      </c>
      <c r="F84" s="85">
        <f t="shared" si="72"/>
        <v>4000</v>
      </c>
      <c r="G84" s="85">
        <f t="shared" si="72"/>
        <v>6000</v>
      </c>
      <c r="H84" s="85">
        <f t="shared" si="72"/>
        <v>8000</v>
      </c>
      <c r="I84" s="85">
        <f t="shared" si="72"/>
        <v>10000</v>
      </c>
      <c r="J84" s="85">
        <f t="shared" si="72"/>
        <v>20000</v>
      </c>
      <c r="K84" s="85">
        <f t="shared" si="72"/>
        <v>40000</v>
      </c>
      <c r="L84" s="85">
        <f t="shared" si="72"/>
        <v>60000</v>
      </c>
      <c r="M84" s="85">
        <f t="shared" si="72"/>
        <v>80000</v>
      </c>
      <c r="N84" s="85">
        <f t="shared" si="72"/>
        <v>100000</v>
      </c>
    </row>
    <row r="85" spans="1:14" x14ac:dyDescent="0.3">
      <c r="C85" s="85">
        <f>C33</f>
        <v>15.5</v>
      </c>
      <c r="D85" s="85">
        <f t="shared" ref="D85:N85" si="73">D33</f>
        <v>50</v>
      </c>
      <c r="E85" s="85">
        <f t="shared" si="73"/>
        <v>70</v>
      </c>
      <c r="F85" s="85">
        <f t="shared" si="73"/>
        <v>100</v>
      </c>
      <c r="G85" s="85">
        <f t="shared" si="73"/>
        <v>122</v>
      </c>
      <c r="H85" s="85">
        <f t="shared" si="73"/>
        <v>140</v>
      </c>
      <c r="I85" s="85">
        <f t="shared" si="73"/>
        <v>157</v>
      </c>
      <c r="J85" s="85">
        <f t="shared" si="73"/>
        <v>222</v>
      </c>
      <c r="K85" s="85">
        <f t="shared" si="73"/>
        <v>315</v>
      </c>
      <c r="L85" s="85">
        <f t="shared" si="73"/>
        <v>382</v>
      </c>
      <c r="M85" s="85">
        <f t="shared" si="73"/>
        <v>445</v>
      </c>
      <c r="N85" s="85">
        <f t="shared" si="73"/>
        <v>495</v>
      </c>
    </row>
    <row r="87" spans="1:14" x14ac:dyDescent="0.3">
      <c r="C87" s="85">
        <v>100</v>
      </c>
      <c r="D87" s="85">
        <v>1000</v>
      </c>
      <c r="E87" s="85">
        <v>2000</v>
      </c>
      <c r="F87" s="85">
        <v>4000</v>
      </c>
      <c r="G87" s="94">
        <v>6000</v>
      </c>
      <c r="H87" s="94">
        <v>8000</v>
      </c>
      <c r="I87" s="94">
        <v>10000</v>
      </c>
      <c r="J87" s="94">
        <v>20000</v>
      </c>
      <c r="K87" s="94">
        <v>40000</v>
      </c>
      <c r="L87" s="94">
        <v>60000</v>
      </c>
      <c r="M87" s="94">
        <v>80000</v>
      </c>
      <c r="N87" s="94">
        <v>100000</v>
      </c>
    </row>
    <row r="88" spans="1:14" s="4" customFormat="1" x14ac:dyDescent="0.3">
      <c r="A88" s="2" t="s">
        <v>182</v>
      </c>
      <c r="B88" s="2"/>
      <c r="C88" s="85">
        <v>23</v>
      </c>
      <c r="D88" s="85">
        <v>70</v>
      </c>
      <c r="E88" s="85">
        <v>100</v>
      </c>
      <c r="F88" s="85">
        <v>140</v>
      </c>
      <c r="G88" s="85">
        <v>172</v>
      </c>
      <c r="H88" s="85">
        <v>200</v>
      </c>
      <c r="I88" s="85">
        <v>225</v>
      </c>
      <c r="J88" s="85">
        <v>315</v>
      </c>
      <c r="K88" s="85">
        <v>450</v>
      </c>
      <c r="L88" s="85">
        <v>540</v>
      </c>
      <c r="M88" s="85">
        <v>625</v>
      </c>
      <c r="N88" s="85">
        <v>700</v>
      </c>
    </row>
    <row r="89" spans="1:14" s="4" customFormat="1" x14ac:dyDescent="0.3">
      <c r="A89" s="2" t="s">
        <v>183</v>
      </c>
      <c r="B89" s="2"/>
      <c r="C89" s="85">
        <f>C33</f>
        <v>15.5</v>
      </c>
      <c r="D89" s="85">
        <f t="shared" ref="D89:N89" si="74">D33</f>
        <v>50</v>
      </c>
      <c r="E89" s="85">
        <f t="shared" si="74"/>
        <v>70</v>
      </c>
      <c r="F89" s="85">
        <f t="shared" si="74"/>
        <v>100</v>
      </c>
      <c r="G89" s="85">
        <f t="shared" si="74"/>
        <v>122</v>
      </c>
      <c r="H89" s="85">
        <f t="shared" si="74"/>
        <v>140</v>
      </c>
      <c r="I89" s="85">
        <f t="shared" si="74"/>
        <v>157</v>
      </c>
      <c r="J89" s="85">
        <f t="shared" si="74"/>
        <v>222</v>
      </c>
      <c r="K89" s="85">
        <f t="shared" si="74"/>
        <v>315</v>
      </c>
      <c r="L89" s="85">
        <f t="shared" si="74"/>
        <v>382</v>
      </c>
      <c r="M89" s="85">
        <f t="shared" si="74"/>
        <v>445</v>
      </c>
      <c r="N89" s="85">
        <f t="shared" si="74"/>
        <v>495</v>
      </c>
    </row>
    <row r="90" spans="1:14" s="4" customFormat="1" x14ac:dyDescent="0.3">
      <c r="A90" s="2"/>
      <c r="B90" s="2"/>
    </row>
    <row r="91" spans="1:14" s="4" customFormat="1" x14ac:dyDescent="0.3">
      <c r="A91" s="2"/>
      <c r="B91" s="2"/>
    </row>
  </sheetData>
  <phoneticPr fontId="7" type="noConversion"/>
  <pageMargins left="0.7" right="0.7" top="0.75" bottom="0.75" header="0.3" footer="0.3"/>
  <pageSetup paperSize="9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36C0-AA0F-4CB2-93FF-E35E79F056F9}">
  <dimension ref="B2:C4"/>
  <sheetViews>
    <sheetView workbookViewId="0">
      <selection activeCell="D18" sqref="D18"/>
    </sheetView>
  </sheetViews>
  <sheetFormatPr defaultRowHeight="14.4" x14ac:dyDescent="0.3"/>
  <sheetData>
    <row r="2" spans="2:3" x14ac:dyDescent="0.3">
      <c r="B2">
        <v>100</v>
      </c>
      <c r="C2">
        <v>23</v>
      </c>
    </row>
    <row r="3" spans="2:3" x14ac:dyDescent="0.3">
      <c r="B3">
        <v>1000</v>
      </c>
      <c r="C3">
        <v>70</v>
      </c>
    </row>
    <row r="4" spans="2:3" x14ac:dyDescent="0.3">
      <c r="B4">
        <v>100000</v>
      </c>
      <c r="C4">
        <v>700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AED8-ED15-498C-A27A-535C3700EF37}">
  <dimension ref="A1:J16"/>
  <sheetViews>
    <sheetView workbookViewId="0">
      <selection activeCell="D52" sqref="D52"/>
    </sheetView>
  </sheetViews>
  <sheetFormatPr defaultColWidth="9.109375" defaultRowHeight="14.4" x14ac:dyDescent="0.3"/>
  <cols>
    <col min="1" max="1" width="39" customWidth="1"/>
  </cols>
  <sheetData>
    <row r="1" spans="1:10" x14ac:dyDescent="0.3">
      <c r="B1" t="s">
        <v>87</v>
      </c>
      <c r="C1" t="s">
        <v>86</v>
      </c>
      <c r="D1" t="s">
        <v>85</v>
      </c>
      <c r="H1" t="s">
        <v>87</v>
      </c>
      <c r="I1" t="s">
        <v>86</v>
      </c>
      <c r="J1" t="s">
        <v>85</v>
      </c>
    </row>
    <row r="2" spans="1:10" x14ac:dyDescent="0.3">
      <c r="A2" s="2" t="s">
        <v>75</v>
      </c>
      <c r="B2" s="64">
        <f>'Basic Calcs Comparison'!D8*100</f>
        <v>2</v>
      </c>
      <c r="C2" s="64">
        <f>'Basic Calcs Comparison'!E8*100</f>
        <v>50</v>
      </c>
      <c r="D2" s="64">
        <f>'Basic Calcs Comparison'!F8*100</f>
        <v>1000</v>
      </c>
      <c r="E2" s="5" t="s">
        <v>112</v>
      </c>
      <c r="G2" t="s">
        <v>75</v>
      </c>
      <c r="H2">
        <v>2</v>
      </c>
      <c r="I2">
        <v>5</v>
      </c>
      <c r="J2">
        <v>10</v>
      </c>
    </row>
    <row r="3" spans="1:10" x14ac:dyDescent="0.3">
      <c r="A3" s="2" t="s">
        <v>23</v>
      </c>
      <c r="B3">
        <f>'Basic Calcs Comparison'!D46</f>
        <v>8.4950121862001158</v>
      </c>
      <c r="C3">
        <f>'Basic Calcs Comparison'!E46</f>
        <v>10.614022100139524</v>
      </c>
      <c r="D3">
        <f>'Basic Calcs Comparison'!F46</f>
        <v>24.382675480128526</v>
      </c>
      <c r="E3" s="5" t="s">
        <v>22</v>
      </c>
      <c r="G3" t="s">
        <v>23</v>
      </c>
      <c r="H3">
        <v>1.0791824363775266</v>
      </c>
      <c r="I3">
        <v>2.6836218436072485</v>
      </c>
      <c r="J3">
        <v>5.3195182069169888</v>
      </c>
    </row>
    <row r="5" spans="1:10" x14ac:dyDescent="0.3">
      <c r="A5" s="2" t="s">
        <v>75</v>
      </c>
      <c r="B5" s="64">
        <f>B2</f>
        <v>2</v>
      </c>
      <c r="C5" s="64">
        <f t="shared" ref="C5:D5" si="0">C2</f>
        <v>50</v>
      </c>
      <c r="D5" s="64">
        <f t="shared" si="0"/>
        <v>1000</v>
      </c>
    </row>
    <row r="6" spans="1:10" x14ac:dyDescent="0.3">
      <c r="A6" s="2" t="s">
        <v>48</v>
      </c>
      <c r="B6">
        <f>'Basic Calcs Comparison'!D56</f>
        <v>7.7127437157314116</v>
      </c>
      <c r="C6">
        <f>'Basic Calcs Comparison'!E56</f>
        <v>40291.376257439872</v>
      </c>
      <c r="D6">
        <f>'Basic Calcs Comparison'!F56</f>
        <v>299022907.02437991</v>
      </c>
    </row>
    <row r="7" spans="1:10" x14ac:dyDescent="0.3">
      <c r="A7" s="2"/>
    </row>
    <row r="8" spans="1:10" x14ac:dyDescent="0.3">
      <c r="A8" s="2" t="s">
        <v>61</v>
      </c>
      <c r="B8">
        <f>'Basic Calcs Comparison'!D22</f>
        <v>364.96532185346422</v>
      </c>
      <c r="C8">
        <f>'Basic Calcs Comparison'!E22</f>
        <v>907974.67622399714</v>
      </c>
      <c r="D8">
        <f>'Basic Calcs Comparison'!F22</f>
        <v>13477088767.295996</v>
      </c>
      <c r="E8" s="5" t="s">
        <v>58</v>
      </c>
    </row>
    <row r="9" spans="1:10" x14ac:dyDescent="0.3">
      <c r="A9" s="2" t="s">
        <v>60</v>
      </c>
      <c r="B9">
        <f>'Basic Calcs Comparison'!D24</f>
        <v>50</v>
      </c>
      <c r="C9">
        <f>'Basic Calcs Comparison'!E24</f>
        <v>10000</v>
      </c>
      <c r="D9">
        <f>'Basic Calcs Comparison'!F24</f>
        <v>100000000</v>
      </c>
      <c r="E9" s="5"/>
    </row>
    <row r="10" spans="1:10" x14ac:dyDescent="0.3">
      <c r="A10" s="2" t="s">
        <v>59</v>
      </c>
      <c r="B10">
        <f>'Basic Calcs Comparison'!D27</f>
        <v>218.41748438146533</v>
      </c>
      <c r="C10">
        <f>'Basic Calcs Comparison'!E27</f>
        <v>1064.9369541888002</v>
      </c>
      <c r="D10">
        <f>'Basic Calcs Comparison'!F27</f>
        <v>43.648124963520004</v>
      </c>
      <c r="E10" s="5" t="s">
        <v>58</v>
      </c>
    </row>
    <row r="11" spans="1:10" x14ac:dyDescent="0.3">
      <c r="A11" s="2" t="s">
        <v>51</v>
      </c>
      <c r="B11">
        <f>'Basic Calcs Comparison'!D53</f>
        <v>493.61559780681034</v>
      </c>
      <c r="C11">
        <f>'Basic Calcs Comparison'!E53</f>
        <v>2578648.0804761518</v>
      </c>
      <c r="D11">
        <f>'Basic Calcs Comparison'!F53</f>
        <v>19137466049.560314</v>
      </c>
      <c r="E11" s="5" t="s">
        <v>50</v>
      </c>
    </row>
    <row r="12" spans="1:10" x14ac:dyDescent="0.3">
      <c r="E12" s="5"/>
    </row>
    <row r="13" spans="1:10" x14ac:dyDescent="0.3">
      <c r="A13" s="2" t="s">
        <v>46</v>
      </c>
      <c r="B13">
        <f>'Basic Calcs Comparison'!D58</f>
        <v>402.02028775294269</v>
      </c>
      <c r="C13">
        <f>'Basic Calcs Comparison'!E58</f>
        <v>9.6152537500765162E-2</v>
      </c>
      <c r="D13">
        <f>'Basic Calcs Comparison'!F58</f>
        <v>2.9762524345739521E-5</v>
      </c>
      <c r="E13" s="5" t="s">
        <v>24</v>
      </c>
    </row>
    <row r="15" spans="1:10" x14ac:dyDescent="0.3">
      <c r="A15" s="2" t="s">
        <v>16</v>
      </c>
      <c r="B15">
        <f>'Basic Calcs Comparison'!D66</f>
        <v>127.98514285714288</v>
      </c>
      <c r="C15">
        <f>'Basic Calcs Comparison'!E66</f>
        <v>70107.428571428565</v>
      </c>
      <c r="D15">
        <f>'Basic Calcs Comparison'!F66</f>
        <v>438171428.5714286</v>
      </c>
      <c r="E15" s="5" t="s">
        <v>15</v>
      </c>
    </row>
    <row r="16" spans="1:10" x14ac:dyDescent="0.3">
      <c r="A16" s="2" t="s">
        <v>8</v>
      </c>
      <c r="B16">
        <f>'Basic Calcs Comparison'!D69</f>
        <v>234.40502354788072</v>
      </c>
      <c r="C16">
        <f>'Basic Calcs Comparison'!E69</f>
        <v>128401.88383045526</v>
      </c>
      <c r="D16">
        <f>'Basic Calcs Comparison'!F69</f>
        <v>802511773.94034541</v>
      </c>
      <c r="E16" s="5" t="s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418C-1E29-4B73-9CF7-69B88C3B0B03}">
  <dimension ref="A1:O23"/>
  <sheetViews>
    <sheetView showGridLines="0" topLeftCell="H1" workbookViewId="0">
      <selection activeCell="J13" sqref="J13"/>
    </sheetView>
  </sheetViews>
  <sheetFormatPr defaultColWidth="9.109375" defaultRowHeight="14.4" x14ac:dyDescent="0.3"/>
  <cols>
    <col min="1" max="7" width="0" style="14" hidden="1" customWidth="1"/>
    <col min="8" max="8" width="15.44140625" style="14" bestFit="1" customWidth="1"/>
    <col min="9" max="9" width="10.5546875" style="15" customWidth="1"/>
    <col min="10" max="10" width="65.6640625" style="14" customWidth="1"/>
    <col min="11" max="13" width="9.33203125" style="14" hidden="1" customWidth="1"/>
    <col min="14" max="14" width="11.5546875" style="15" bestFit="1" customWidth="1"/>
    <col min="15" max="15" width="65.6640625" style="14" customWidth="1"/>
    <col min="16" max="16384" width="9.109375" style="14"/>
  </cols>
  <sheetData>
    <row r="1" spans="1:15" ht="28.8" x14ac:dyDescent="0.3">
      <c r="E1" s="14">
        <v>1</v>
      </c>
      <c r="F1" s="14">
        <v>2</v>
      </c>
      <c r="G1" s="14">
        <v>3</v>
      </c>
      <c r="H1" s="58" t="s">
        <v>103</v>
      </c>
      <c r="I1" s="59" t="s">
        <v>102</v>
      </c>
      <c r="J1" s="58" t="s">
        <v>83</v>
      </c>
      <c r="K1" s="58"/>
      <c r="L1" s="58"/>
      <c r="M1" s="58"/>
      <c r="N1" s="59" t="s">
        <v>101</v>
      </c>
      <c r="O1" s="58" t="s">
        <v>83</v>
      </c>
    </row>
    <row r="2" spans="1:15" x14ac:dyDescent="0.3">
      <c r="A2" s="14">
        <v>1</v>
      </c>
      <c r="B2" s="14">
        <v>2</v>
      </c>
      <c r="C2" s="14">
        <v>1</v>
      </c>
      <c r="D2" s="14">
        <v>1</v>
      </c>
      <c r="E2" s="14" t="str">
        <f t="shared" ref="E2:E21" si="0">IF(B2=A2,I2,"")</f>
        <v/>
      </c>
      <c r="F2" s="14">
        <f t="shared" ref="F2:F21" si="1">IF(C2=A2,I2,"")</f>
        <v>2840</v>
      </c>
      <c r="G2" s="14">
        <f t="shared" ref="G2:G21" si="2">IF(D2=A2,I2,"")</f>
        <v>2840</v>
      </c>
      <c r="H2" s="60" t="s">
        <v>100</v>
      </c>
      <c r="I2" s="73">
        <v>2840</v>
      </c>
      <c r="J2" s="61" t="s">
        <v>99</v>
      </c>
      <c r="K2" s="60" t="str">
        <f t="shared" ref="K2:K21" si="3">IF(A2=B2,N2,"")</f>
        <v/>
      </c>
      <c r="L2" s="60">
        <f t="shared" ref="L2:L21" si="4">IF(C2=A2,N2,"")</f>
        <v>150</v>
      </c>
      <c r="M2" s="60">
        <f t="shared" ref="M2:M21" si="5">IF(D2=A2,N2,"")</f>
        <v>150</v>
      </c>
      <c r="N2" s="62">
        <v>150</v>
      </c>
      <c r="O2" s="63" t="s">
        <v>98</v>
      </c>
    </row>
    <row r="3" spans="1:15" ht="28.8" x14ac:dyDescent="0.3">
      <c r="A3" s="14">
        <v>2</v>
      </c>
      <c r="B3" s="14">
        <f t="shared" ref="B3:D18" si="6">B2</f>
        <v>2</v>
      </c>
      <c r="C3" s="14">
        <f t="shared" si="6"/>
        <v>1</v>
      </c>
      <c r="D3" s="14">
        <f t="shared" si="6"/>
        <v>1</v>
      </c>
      <c r="E3" s="14">
        <f t="shared" si="0"/>
        <v>2705</v>
      </c>
      <c r="F3" s="14" t="str">
        <f t="shared" si="1"/>
        <v/>
      </c>
      <c r="G3" s="14" t="str">
        <f t="shared" si="2"/>
        <v/>
      </c>
      <c r="H3" s="60" t="s">
        <v>97</v>
      </c>
      <c r="I3" s="73">
        <v>2705</v>
      </c>
      <c r="J3" s="61" t="s">
        <v>95</v>
      </c>
      <c r="K3" s="60">
        <f t="shared" si="3"/>
        <v>575</v>
      </c>
      <c r="L3" s="60" t="str">
        <f t="shared" si="4"/>
        <v/>
      </c>
      <c r="M3" s="60" t="str">
        <f t="shared" si="5"/>
        <v/>
      </c>
      <c r="N3" s="73">
        <v>575</v>
      </c>
      <c r="O3" s="61" t="s">
        <v>94</v>
      </c>
    </row>
    <row r="4" spans="1:15" ht="28.8" x14ac:dyDescent="0.3">
      <c r="A4" s="14">
        <v>3</v>
      </c>
      <c r="B4" s="14">
        <f t="shared" si="6"/>
        <v>2</v>
      </c>
      <c r="C4" s="14">
        <f t="shared" si="6"/>
        <v>1</v>
      </c>
      <c r="D4" s="14">
        <f t="shared" si="6"/>
        <v>1</v>
      </c>
      <c r="E4" s="14" t="str">
        <f t="shared" si="0"/>
        <v/>
      </c>
      <c r="F4" s="14" t="str">
        <f t="shared" si="1"/>
        <v/>
      </c>
      <c r="G4" s="14" t="str">
        <f t="shared" si="2"/>
        <v/>
      </c>
      <c r="H4" s="60" t="s">
        <v>96</v>
      </c>
      <c r="I4" s="73">
        <v>7850</v>
      </c>
      <c r="J4" s="61" t="s">
        <v>95</v>
      </c>
      <c r="K4" s="60" t="str">
        <f t="shared" si="3"/>
        <v/>
      </c>
      <c r="L4" s="60" t="str">
        <f t="shared" si="4"/>
        <v/>
      </c>
      <c r="M4" s="60" t="str">
        <f t="shared" si="5"/>
        <v/>
      </c>
      <c r="N4" s="73">
        <v>600</v>
      </c>
      <c r="O4" s="61" t="s">
        <v>94</v>
      </c>
    </row>
    <row r="5" spans="1:15" ht="57.6" x14ac:dyDescent="0.3">
      <c r="A5" s="14">
        <v>4</v>
      </c>
      <c r="B5" s="14">
        <f t="shared" si="6"/>
        <v>2</v>
      </c>
      <c r="C5" s="14">
        <f t="shared" si="6"/>
        <v>1</v>
      </c>
      <c r="D5" s="14">
        <f t="shared" si="6"/>
        <v>1</v>
      </c>
      <c r="E5" s="14" t="str">
        <f t="shared" si="0"/>
        <v/>
      </c>
      <c r="F5" s="14" t="str">
        <f t="shared" si="1"/>
        <v/>
      </c>
      <c r="G5" s="14" t="str">
        <f t="shared" si="2"/>
        <v/>
      </c>
      <c r="H5" s="60" t="s">
        <v>93</v>
      </c>
      <c r="I5" s="73">
        <v>1100</v>
      </c>
      <c r="J5" s="61" t="s">
        <v>92</v>
      </c>
      <c r="K5" s="60" t="str">
        <f t="shared" si="3"/>
        <v/>
      </c>
      <c r="L5" s="60" t="str">
        <f t="shared" si="4"/>
        <v/>
      </c>
      <c r="M5" s="60" t="str">
        <f t="shared" si="5"/>
        <v/>
      </c>
      <c r="N5" s="74">
        <f>0.00029307*342*1000</f>
        <v>100.22993999999998</v>
      </c>
      <c r="O5" s="61" t="s">
        <v>91</v>
      </c>
    </row>
    <row r="6" spans="1:15" x14ac:dyDescent="0.3">
      <c r="A6" s="14">
        <v>5</v>
      </c>
      <c r="B6" s="14">
        <f t="shared" si="6"/>
        <v>2</v>
      </c>
      <c r="C6" s="14">
        <f t="shared" si="6"/>
        <v>1</v>
      </c>
      <c r="D6" s="14">
        <f t="shared" si="6"/>
        <v>1</v>
      </c>
      <c r="E6" s="14" t="str">
        <f t="shared" si="0"/>
        <v/>
      </c>
      <c r="F6" s="14" t="str">
        <f t="shared" si="1"/>
        <v/>
      </c>
      <c r="G6" s="14" t="str">
        <f t="shared" si="2"/>
        <v/>
      </c>
      <c r="H6" s="60" t="s">
        <v>90</v>
      </c>
      <c r="I6" s="62"/>
      <c r="J6" s="60"/>
      <c r="K6" s="60" t="str">
        <f t="shared" si="3"/>
        <v/>
      </c>
      <c r="L6" s="60" t="str">
        <f t="shared" si="4"/>
        <v/>
      </c>
      <c r="M6" s="60" t="str">
        <f t="shared" si="5"/>
        <v/>
      </c>
      <c r="N6" s="62"/>
      <c r="O6" s="60"/>
    </row>
    <row r="7" spans="1:15" x14ac:dyDescent="0.3">
      <c r="A7" s="14">
        <v>6</v>
      </c>
      <c r="B7" s="14">
        <f t="shared" si="6"/>
        <v>2</v>
      </c>
      <c r="C7" s="14">
        <f t="shared" si="6"/>
        <v>1</v>
      </c>
      <c r="D7" s="14">
        <f t="shared" si="6"/>
        <v>1</v>
      </c>
      <c r="E7" s="14" t="str">
        <f t="shared" si="0"/>
        <v/>
      </c>
      <c r="F7" s="14" t="str">
        <f t="shared" si="1"/>
        <v/>
      </c>
      <c r="G7" s="14" t="str">
        <f t="shared" si="2"/>
        <v/>
      </c>
      <c r="H7" s="60" t="s">
        <v>90</v>
      </c>
      <c r="I7" s="62"/>
      <c r="J7" s="60"/>
      <c r="K7" s="60" t="str">
        <f t="shared" si="3"/>
        <v/>
      </c>
      <c r="L7" s="60" t="str">
        <f t="shared" si="4"/>
        <v/>
      </c>
      <c r="M7" s="60" t="str">
        <f t="shared" si="5"/>
        <v/>
      </c>
      <c r="N7" s="62"/>
      <c r="O7" s="60"/>
    </row>
    <row r="8" spans="1:15" x14ac:dyDescent="0.3">
      <c r="A8" s="14">
        <v>7</v>
      </c>
      <c r="B8" s="14">
        <f t="shared" si="6"/>
        <v>2</v>
      </c>
      <c r="C8" s="14">
        <f t="shared" si="6"/>
        <v>1</v>
      </c>
      <c r="D8" s="14">
        <f t="shared" si="6"/>
        <v>1</v>
      </c>
      <c r="E8" s="14" t="str">
        <f t="shared" si="0"/>
        <v/>
      </c>
      <c r="F8" s="14" t="str">
        <f t="shared" si="1"/>
        <v/>
      </c>
      <c r="G8" s="14" t="str">
        <f t="shared" si="2"/>
        <v/>
      </c>
      <c r="H8" s="60" t="s">
        <v>90</v>
      </c>
      <c r="I8" s="62"/>
      <c r="J8" s="60"/>
      <c r="K8" s="60" t="str">
        <f t="shared" si="3"/>
        <v/>
      </c>
      <c r="L8" s="60" t="str">
        <f t="shared" si="4"/>
        <v/>
      </c>
      <c r="M8" s="60" t="str">
        <f t="shared" si="5"/>
        <v/>
      </c>
      <c r="N8" s="62"/>
      <c r="O8" s="60"/>
    </row>
    <row r="9" spans="1:15" x14ac:dyDescent="0.3">
      <c r="A9" s="14">
        <v>8</v>
      </c>
      <c r="B9" s="14">
        <f t="shared" si="6"/>
        <v>2</v>
      </c>
      <c r="C9" s="14">
        <f t="shared" si="6"/>
        <v>1</v>
      </c>
      <c r="D9" s="14">
        <f t="shared" si="6"/>
        <v>1</v>
      </c>
      <c r="E9" s="14" t="str">
        <f t="shared" si="0"/>
        <v/>
      </c>
      <c r="F9" s="14" t="str">
        <f t="shared" si="1"/>
        <v/>
      </c>
      <c r="G9" s="14" t="str">
        <f t="shared" si="2"/>
        <v/>
      </c>
      <c r="H9" s="60" t="s">
        <v>90</v>
      </c>
      <c r="I9" s="62"/>
      <c r="J9" s="60"/>
      <c r="K9" s="60" t="str">
        <f t="shared" si="3"/>
        <v/>
      </c>
      <c r="L9" s="60" t="str">
        <f t="shared" si="4"/>
        <v/>
      </c>
      <c r="M9" s="60" t="str">
        <f t="shared" si="5"/>
        <v/>
      </c>
      <c r="N9" s="62"/>
      <c r="O9" s="60"/>
    </row>
    <row r="10" spans="1:15" x14ac:dyDescent="0.3">
      <c r="A10" s="14">
        <v>9</v>
      </c>
      <c r="B10" s="14">
        <f t="shared" si="6"/>
        <v>2</v>
      </c>
      <c r="C10" s="14">
        <f t="shared" si="6"/>
        <v>1</v>
      </c>
      <c r="D10" s="14">
        <f t="shared" si="6"/>
        <v>1</v>
      </c>
      <c r="E10" s="14" t="str">
        <f t="shared" si="0"/>
        <v/>
      </c>
      <c r="F10" s="14" t="str">
        <f t="shared" si="1"/>
        <v/>
      </c>
      <c r="G10" s="14" t="str">
        <f t="shared" si="2"/>
        <v/>
      </c>
      <c r="H10" s="60" t="s">
        <v>90</v>
      </c>
      <c r="I10" s="62"/>
      <c r="J10" s="60"/>
      <c r="K10" s="60" t="str">
        <f t="shared" si="3"/>
        <v/>
      </c>
      <c r="L10" s="60" t="str">
        <f t="shared" si="4"/>
        <v/>
      </c>
      <c r="M10" s="60" t="str">
        <f t="shared" si="5"/>
        <v/>
      </c>
      <c r="N10" s="62"/>
      <c r="O10" s="60"/>
    </row>
    <row r="11" spans="1:15" x14ac:dyDescent="0.3">
      <c r="A11" s="14">
        <v>10</v>
      </c>
      <c r="B11" s="14">
        <f t="shared" si="6"/>
        <v>2</v>
      </c>
      <c r="C11" s="14">
        <f t="shared" si="6"/>
        <v>1</v>
      </c>
      <c r="D11" s="14">
        <f t="shared" si="6"/>
        <v>1</v>
      </c>
      <c r="E11" s="14" t="str">
        <f t="shared" si="0"/>
        <v/>
      </c>
      <c r="F11" s="14" t="str">
        <f t="shared" si="1"/>
        <v/>
      </c>
      <c r="G11" s="14" t="str">
        <f t="shared" si="2"/>
        <v/>
      </c>
      <c r="H11" s="60" t="s">
        <v>90</v>
      </c>
      <c r="I11" s="62"/>
      <c r="J11" s="60"/>
      <c r="K11" s="60" t="str">
        <f t="shared" si="3"/>
        <v/>
      </c>
      <c r="L11" s="60" t="str">
        <f t="shared" si="4"/>
        <v/>
      </c>
      <c r="M11" s="60" t="str">
        <f t="shared" si="5"/>
        <v/>
      </c>
      <c r="N11" s="62"/>
      <c r="O11" s="60"/>
    </row>
    <row r="12" spans="1:15" x14ac:dyDescent="0.3">
      <c r="A12" s="14">
        <v>11</v>
      </c>
      <c r="B12" s="14">
        <f t="shared" si="6"/>
        <v>2</v>
      </c>
      <c r="C12" s="14">
        <f t="shared" si="6"/>
        <v>1</v>
      </c>
      <c r="D12" s="14">
        <f t="shared" si="6"/>
        <v>1</v>
      </c>
      <c r="E12" s="14" t="str">
        <f t="shared" si="0"/>
        <v/>
      </c>
      <c r="F12" s="14" t="str">
        <f t="shared" si="1"/>
        <v/>
      </c>
      <c r="G12" s="14" t="str">
        <f t="shared" si="2"/>
        <v/>
      </c>
      <c r="H12" s="60" t="s">
        <v>90</v>
      </c>
      <c r="I12" s="62"/>
      <c r="J12" s="60"/>
      <c r="K12" s="60" t="str">
        <f t="shared" si="3"/>
        <v/>
      </c>
      <c r="L12" s="60" t="str">
        <f t="shared" si="4"/>
        <v/>
      </c>
      <c r="M12" s="60" t="str">
        <f t="shared" si="5"/>
        <v/>
      </c>
      <c r="N12" s="62"/>
      <c r="O12" s="60"/>
    </row>
    <row r="13" spans="1:15" x14ac:dyDescent="0.3">
      <c r="A13" s="14">
        <v>12</v>
      </c>
      <c r="B13" s="14">
        <f t="shared" si="6"/>
        <v>2</v>
      </c>
      <c r="C13" s="14">
        <f t="shared" si="6"/>
        <v>1</v>
      </c>
      <c r="D13" s="14">
        <f t="shared" si="6"/>
        <v>1</v>
      </c>
      <c r="E13" s="14" t="str">
        <f t="shared" si="0"/>
        <v/>
      </c>
      <c r="F13" s="14" t="str">
        <f t="shared" si="1"/>
        <v/>
      </c>
      <c r="G13" s="14" t="str">
        <f t="shared" si="2"/>
        <v/>
      </c>
      <c r="H13" s="60" t="s">
        <v>90</v>
      </c>
      <c r="I13" s="62"/>
      <c r="J13" s="60"/>
      <c r="K13" s="60" t="str">
        <f t="shared" si="3"/>
        <v/>
      </c>
      <c r="L13" s="60" t="str">
        <f t="shared" si="4"/>
        <v/>
      </c>
      <c r="M13" s="60" t="str">
        <f t="shared" si="5"/>
        <v/>
      </c>
      <c r="N13" s="62"/>
      <c r="O13" s="60"/>
    </row>
    <row r="14" spans="1:15" x14ac:dyDescent="0.3">
      <c r="A14" s="14">
        <v>13</v>
      </c>
      <c r="B14" s="14">
        <f t="shared" si="6"/>
        <v>2</v>
      </c>
      <c r="C14" s="14">
        <f t="shared" si="6"/>
        <v>1</v>
      </c>
      <c r="D14" s="14">
        <f t="shared" si="6"/>
        <v>1</v>
      </c>
      <c r="E14" s="14" t="str">
        <f t="shared" si="0"/>
        <v/>
      </c>
      <c r="F14" s="14" t="str">
        <f t="shared" si="1"/>
        <v/>
      </c>
      <c r="G14" s="14" t="str">
        <f t="shared" si="2"/>
        <v/>
      </c>
      <c r="H14" s="60" t="s">
        <v>90</v>
      </c>
      <c r="I14" s="62"/>
      <c r="J14" s="60"/>
      <c r="K14" s="60" t="str">
        <f t="shared" si="3"/>
        <v/>
      </c>
      <c r="L14" s="60" t="str">
        <f t="shared" si="4"/>
        <v/>
      </c>
      <c r="M14" s="60" t="str">
        <f t="shared" si="5"/>
        <v/>
      </c>
      <c r="N14" s="62"/>
      <c r="O14" s="60"/>
    </row>
    <row r="15" spans="1:15" x14ac:dyDescent="0.3">
      <c r="A15" s="14">
        <v>14</v>
      </c>
      <c r="B15" s="14">
        <f t="shared" si="6"/>
        <v>2</v>
      </c>
      <c r="C15" s="14">
        <f t="shared" si="6"/>
        <v>1</v>
      </c>
      <c r="D15" s="14">
        <f t="shared" si="6"/>
        <v>1</v>
      </c>
      <c r="E15" s="14" t="str">
        <f t="shared" si="0"/>
        <v/>
      </c>
      <c r="F15" s="14" t="str">
        <f t="shared" si="1"/>
        <v/>
      </c>
      <c r="G15" s="14" t="str">
        <f t="shared" si="2"/>
        <v/>
      </c>
      <c r="H15" s="60" t="s">
        <v>90</v>
      </c>
      <c r="I15" s="62"/>
      <c r="J15" s="60"/>
      <c r="K15" s="60" t="str">
        <f t="shared" si="3"/>
        <v/>
      </c>
      <c r="L15" s="60" t="str">
        <f t="shared" si="4"/>
        <v/>
      </c>
      <c r="M15" s="60" t="str">
        <f t="shared" si="5"/>
        <v/>
      </c>
      <c r="N15" s="62"/>
      <c r="O15" s="60"/>
    </row>
    <row r="16" spans="1:15" x14ac:dyDescent="0.3">
      <c r="A16" s="14">
        <v>15</v>
      </c>
      <c r="B16" s="14">
        <f t="shared" si="6"/>
        <v>2</v>
      </c>
      <c r="C16" s="14">
        <f t="shared" si="6"/>
        <v>1</v>
      </c>
      <c r="D16" s="14">
        <f t="shared" si="6"/>
        <v>1</v>
      </c>
      <c r="E16" s="14" t="str">
        <f t="shared" si="0"/>
        <v/>
      </c>
      <c r="F16" s="14" t="str">
        <f t="shared" si="1"/>
        <v/>
      </c>
      <c r="G16" s="14" t="str">
        <f t="shared" si="2"/>
        <v/>
      </c>
      <c r="H16" s="60" t="s">
        <v>90</v>
      </c>
      <c r="I16" s="62"/>
      <c r="J16" s="60"/>
      <c r="K16" s="60" t="str">
        <f t="shared" si="3"/>
        <v/>
      </c>
      <c r="L16" s="60" t="str">
        <f t="shared" si="4"/>
        <v/>
      </c>
      <c r="M16" s="60" t="str">
        <f t="shared" si="5"/>
        <v/>
      </c>
      <c r="N16" s="62"/>
      <c r="O16" s="60"/>
    </row>
    <row r="17" spans="1:15" x14ac:dyDescent="0.3">
      <c r="A17" s="14">
        <v>16</v>
      </c>
      <c r="B17" s="14">
        <f t="shared" si="6"/>
        <v>2</v>
      </c>
      <c r="C17" s="14">
        <f t="shared" si="6"/>
        <v>1</v>
      </c>
      <c r="D17" s="14">
        <f t="shared" si="6"/>
        <v>1</v>
      </c>
      <c r="E17" s="14" t="str">
        <f t="shared" si="0"/>
        <v/>
      </c>
      <c r="F17" s="14" t="str">
        <f t="shared" si="1"/>
        <v/>
      </c>
      <c r="G17" s="14" t="str">
        <f t="shared" si="2"/>
        <v/>
      </c>
      <c r="H17" s="60" t="s">
        <v>90</v>
      </c>
      <c r="I17" s="62"/>
      <c r="J17" s="60"/>
      <c r="K17" s="60" t="str">
        <f t="shared" si="3"/>
        <v/>
      </c>
      <c r="L17" s="60" t="str">
        <f t="shared" si="4"/>
        <v/>
      </c>
      <c r="M17" s="60" t="str">
        <f t="shared" si="5"/>
        <v/>
      </c>
      <c r="N17" s="62"/>
      <c r="O17" s="60"/>
    </row>
    <row r="18" spans="1:15" x14ac:dyDescent="0.3">
      <c r="A18" s="14">
        <v>17</v>
      </c>
      <c r="B18" s="14">
        <f t="shared" si="6"/>
        <v>2</v>
      </c>
      <c r="C18" s="14">
        <f t="shared" si="6"/>
        <v>1</v>
      </c>
      <c r="D18" s="14">
        <f t="shared" si="6"/>
        <v>1</v>
      </c>
      <c r="E18" s="14" t="str">
        <f t="shared" si="0"/>
        <v/>
      </c>
      <c r="F18" s="14" t="str">
        <f t="shared" si="1"/>
        <v/>
      </c>
      <c r="G18" s="14" t="str">
        <f t="shared" si="2"/>
        <v/>
      </c>
      <c r="H18" s="60" t="s">
        <v>90</v>
      </c>
      <c r="I18" s="62"/>
      <c r="J18" s="60"/>
      <c r="K18" s="60" t="str">
        <f t="shared" si="3"/>
        <v/>
      </c>
      <c r="L18" s="60" t="str">
        <f t="shared" si="4"/>
        <v/>
      </c>
      <c r="M18" s="60" t="str">
        <f t="shared" si="5"/>
        <v/>
      </c>
      <c r="N18" s="62"/>
      <c r="O18" s="60"/>
    </row>
    <row r="19" spans="1:15" x14ac:dyDescent="0.3">
      <c r="A19" s="14">
        <v>18</v>
      </c>
      <c r="B19" s="14">
        <f t="shared" ref="B19:D21" si="7">B18</f>
        <v>2</v>
      </c>
      <c r="C19" s="14">
        <f t="shared" si="7"/>
        <v>1</v>
      </c>
      <c r="D19" s="14">
        <f t="shared" si="7"/>
        <v>1</v>
      </c>
      <c r="E19" s="14" t="str">
        <f t="shared" si="0"/>
        <v/>
      </c>
      <c r="F19" s="14" t="str">
        <f t="shared" si="1"/>
        <v/>
      </c>
      <c r="G19" s="14" t="str">
        <f t="shared" si="2"/>
        <v/>
      </c>
      <c r="H19" s="60" t="s">
        <v>90</v>
      </c>
      <c r="I19" s="62"/>
      <c r="J19" s="60"/>
      <c r="K19" s="60" t="str">
        <f t="shared" si="3"/>
        <v/>
      </c>
      <c r="L19" s="60" t="str">
        <f t="shared" si="4"/>
        <v/>
      </c>
      <c r="M19" s="60" t="str">
        <f t="shared" si="5"/>
        <v/>
      </c>
      <c r="N19" s="62"/>
      <c r="O19" s="60"/>
    </row>
    <row r="20" spans="1:15" x14ac:dyDescent="0.3">
      <c r="A20" s="14">
        <v>19</v>
      </c>
      <c r="B20" s="14">
        <f t="shared" si="7"/>
        <v>2</v>
      </c>
      <c r="C20" s="14">
        <f t="shared" si="7"/>
        <v>1</v>
      </c>
      <c r="D20" s="14">
        <f t="shared" si="7"/>
        <v>1</v>
      </c>
      <c r="E20" s="14" t="str">
        <f t="shared" si="0"/>
        <v/>
      </c>
      <c r="F20" s="14" t="str">
        <f t="shared" si="1"/>
        <v/>
      </c>
      <c r="G20" s="14" t="str">
        <f t="shared" si="2"/>
        <v/>
      </c>
      <c r="H20" s="60" t="s">
        <v>90</v>
      </c>
      <c r="I20" s="62"/>
      <c r="J20" s="60"/>
      <c r="K20" s="60" t="str">
        <f t="shared" si="3"/>
        <v/>
      </c>
      <c r="L20" s="60" t="str">
        <f t="shared" si="4"/>
        <v/>
      </c>
      <c r="M20" s="60" t="str">
        <f t="shared" si="5"/>
        <v/>
      </c>
      <c r="N20" s="62"/>
      <c r="O20" s="60"/>
    </row>
    <row r="21" spans="1:15" x14ac:dyDescent="0.3">
      <c r="A21" s="14">
        <v>20</v>
      </c>
      <c r="B21" s="14">
        <f t="shared" si="7"/>
        <v>2</v>
      </c>
      <c r="C21" s="14">
        <f t="shared" si="7"/>
        <v>1</v>
      </c>
      <c r="D21" s="14">
        <f t="shared" si="7"/>
        <v>1</v>
      </c>
      <c r="E21" s="14" t="str">
        <f t="shared" si="0"/>
        <v/>
      </c>
      <c r="F21" s="14" t="str">
        <f t="shared" si="1"/>
        <v/>
      </c>
      <c r="G21" s="14" t="str">
        <f t="shared" si="2"/>
        <v/>
      </c>
      <c r="H21" s="60" t="s">
        <v>90</v>
      </c>
      <c r="I21" s="62"/>
      <c r="J21" s="60"/>
      <c r="K21" s="60" t="str">
        <f t="shared" si="3"/>
        <v/>
      </c>
      <c r="L21" s="60" t="str">
        <f t="shared" si="4"/>
        <v/>
      </c>
      <c r="M21" s="60" t="str">
        <f t="shared" si="5"/>
        <v/>
      </c>
      <c r="N21" s="62"/>
      <c r="O21" s="60"/>
    </row>
    <row r="23" spans="1:15" x14ac:dyDescent="0.3">
      <c r="E23" s="14">
        <f>SUM(E2:E21)</f>
        <v>2705</v>
      </c>
      <c r="F23" s="14">
        <f>SUM(F2:F21)</f>
        <v>2840</v>
      </c>
      <c r="G23" s="14">
        <f>SUM(G2:G21)</f>
        <v>2840</v>
      </c>
      <c r="K23" s="14">
        <f>SUM(K2:K21)</f>
        <v>575</v>
      </c>
      <c r="L23" s="14">
        <f>SUM(L2:L21)</f>
        <v>150</v>
      </c>
      <c r="M23" s="14">
        <f>SUM(M2:M21)</f>
        <v>150</v>
      </c>
    </row>
  </sheetData>
  <hyperlinks>
    <hyperlink ref="J2" r:id="rId1" xr:uid="{A3F07AB7-73C7-4700-A41E-71ADE9D43AF7}"/>
    <hyperlink ref="J3" r:id="rId2" xr:uid="{9F322EEA-F36D-4172-85FA-CE4E2F3AE0C5}"/>
    <hyperlink ref="J4" r:id="rId3" xr:uid="{9DB97D44-3C42-480C-9690-C8DF9D834D75}"/>
    <hyperlink ref="J5" r:id="rId4" xr:uid="{918BDF39-E448-44A7-802D-B753CCF88EBE}"/>
    <hyperlink ref="O3:O4" r:id="rId5" display="https://electroheatinduction.com/how-to-calculate-electricity-cost-for-melting-metal-in-induction-melting-furnace/" xr:uid="{8116E3A4-8990-4CA7-928A-8FAC3D944C6A}"/>
    <hyperlink ref="O5" r:id="rId6" location=":~:text=A%20kilogram%20of%20a%20semi-crystalline%20resin%2C%20such%20as,vs.%20342%29%2C%20yet%20their%20processing%20temperatures%20are%20similar." xr:uid="{669C2A7E-0506-440F-BED7-A496BAFDE47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792F-9705-4072-AB45-96DA1CD37F42}">
  <sheetPr codeName="Sheet23"/>
  <dimension ref="A1:I56"/>
  <sheetViews>
    <sheetView showGridLines="0" workbookViewId="0">
      <selection activeCell="E8" sqref="E8"/>
    </sheetView>
  </sheetViews>
  <sheetFormatPr defaultColWidth="9.109375" defaultRowHeight="14.4" x14ac:dyDescent="0.3"/>
  <cols>
    <col min="1" max="1" width="40.5546875" style="2" bestFit="1" customWidth="1"/>
    <col min="2" max="2" width="6.6640625" style="2" hidden="1" customWidth="1"/>
    <col min="3" max="3" width="9.109375" style="5" bestFit="1" customWidth="1"/>
    <col min="4" max="6" width="18.5546875" style="4" customWidth="1"/>
    <col min="7" max="7" width="6.44140625" style="3" customWidth="1"/>
    <col min="8" max="8" width="62.33203125" style="2" customWidth="1"/>
    <col min="9" max="9" width="49.6640625" style="2" customWidth="1"/>
    <col min="10" max="10" width="9.109375" style="1"/>
    <col min="11" max="11" width="6.6640625" style="1" bestFit="1" customWidth="1"/>
    <col min="12" max="12" width="17.33203125" style="1" bestFit="1" customWidth="1"/>
    <col min="13" max="16384" width="9.109375" style="1"/>
  </cols>
  <sheetData>
    <row r="1" spans="1:9" ht="18" x14ac:dyDescent="0.3">
      <c r="A1" s="10" t="s">
        <v>89</v>
      </c>
      <c r="B1" s="10"/>
      <c r="H1" s="7"/>
    </row>
    <row r="2" spans="1:9" x14ac:dyDescent="0.3">
      <c r="A2" s="6"/>
      <c r="C2" s="13" t="s">
        <v>88</v>
      </c>
      <c r="D2" s="12" t="s">
        <v>87</v>
      </c>
      <c r="E2" s="12" t="s">
        <v>86</v>
      </c>
      <c r="F2" s="12" t="s">
        <v>85</v>
      </c>
      <c r="G2" s="34" t="s">
        <v>84</v>
      </c>
      <c r="H2" s="11" t="s">
        <v>83</v>
      </c>
      <c r="I2" s="11" t="s">
        <v>104</v>
      </c>
    </row>
    <row r="3" spans="1:9" ht="28.8" x14ac:dyDescent="0.3">
      <c r="A3" s="44" t="s">
        <v>82</v>
      </c>
      <c r="B3" s="44" t="s">
        <v>81</v>
      </c>
      <c r="C3" s="46" t="s">
        <v>0</v>
      </c>
      <c r="D3" s="27">
        <v>100</v>
      </c>
      <c r="E3" s="27">
        <v>1000</v>
      </c>
      <c r="F3" s="27">
        <v>100000</v>
      </c>
      <c r="G3" s="24">
        <v>73</v>
      </c>
      <c r="H3" s="25" t="s">
        <v>106</v>
      </c>
      <c r="I3" s="25" t="s">
        <v>105</v>
      </c>
    </row>
    <row r="4" spans="1:9" ht="28.8" x14ac:dyDescent="0.3">
      <c r="A4" s="44" t="s">
        <v>80</v>
      </c>
      <c r="B4" s="44" t="s">
        <v>79</v>
      </c>
      <c r="C4" s="46" t="s">
        <v>0</v>
      </c>
      <c r="D4" s="27">
        <v>10</v>
      </c>
      <c r="E4" s="27">
        <v>100</v>
      </c>
      <c r="F4" s="27">
        <v>10000</v>
      </c>
      <c r="G4" s="24"/>
      <c r="H4" s="25" t="s">
        <v>78</v>
      </c>
      <c r="I4" s="25"/>
    </row>
    <row r="5" spans="1:9" x14ac:dyDescent="0.3">
      <c r="A5" s="44" t="s">
        <v>77</v>
      </c>
      <c r="B5" s="44" t="s">
        <v>76</v>
      </c>
      <c r="C5" s="46" t="s">
        <v>0</v>
      </c>
      <c r="D5" s="27">
        <f>SUM(D3-(2*D4))</f>
        <v>80</v>
      </c>
      <c r="E5" s="27">
        <f>SUM(E3-(2*E4))</f>
        <v>800</v>
      </c>
      <c r="F5" s="27">
        <f>SUM(F3-(2*F4))</f>
        <v>80000</v>
      </c>
      <c r="G5" s="47"/>
      <c r="H5" s="25"/>
      <c r="I5" s="25"/>
    </row>
    <row r="6" spans="1:9" x14ac:dyDescent="0.3">
      <c r="A6" s="44" t="s">
        <v>75</v>
      </c>
      <c r="B6" s="44" t="s">
        <v>74</v>
      </c>
      <c r="C6" s="46" t="s">
        <v>0</v>
      </c>
      <c r="D6" s="48">
        <v>0.05</v>
      </c>
      <c r="E6" s="48">
        <v>0.2</v>
      </c>
      <c r="F6" s="48">
        <v>1</v>
      </c>
      <c r="G6" s="47"/>
      <c r="H6" s="25"/>
      <c r="I6" s="25"/>
    </row>
    <row r="7" spans="1:9" x14ac:dyDescent="0.3">
      <c r="A7" s="44" t="s">
        <v>73</v>
      </c>
      <c r="B7" s="44" t="s">
        <v>72</v>
      </c>
      <c r="C7" s="46" t="s">
        <v>58</v>
      </c>
      <c r="D7" s="28">
        <f>SUM(3.1416*3.1416)*(D3/2+D5/2)*(D3/2-D5/2)*(D3/2-D5/2)/4</f>
        <v>22206.713759999999</v>
      </c>
      <c r="E7" s="28">
        <f>SUM(3.1416*3.1416)*(E3/2+E5/2)*(E3/2-E5/2)*(E3/2-E5/2)/4</f>
        <v>22206713.760000002</v>
      </c>
      <c r="F7" s="28">
        <f>SUM(3.1416*3.1416)*(F3/2+F5/2)*(F3/2-F5/2)*(F3/2-F5/2)/4</f>
        <v>22206713760000</v>
      </c>
      <c r="G7" s="24"/>
      <c r="H7" s="25"/>
      <c r="I7" s="25"/>
    </row>
    <row r="8" spans="1:9" x14ac:dyDescent="0.3">
      <c r="A8" s="44" t="s">
        <v>71</v>
      </c>
      <c r="B8" s="44"/>
      <c r="C8" s="46" t="s">
        <v>0</v>
      </c>
      <c r="D8" s="49">
        <f>D3-(D6*2)</f>
        <v>99.9</v>
      </c>
      <c r="E8" s="49">
        <f>E3-(E6*2)</f>
        <v>999.6</v>
      </c>
      <c r="F8" s="49">
        <f>F3-(F6*2)</f>
        <v>99998</v>
      </c>
      <c r="G8" s="24"/>
      <c r="H8" s="25"/>
      <c r="I8" s="25"/>
    </row>
    <row r="9" spans="1:9" x14ac:dyDescent="0.3">
      <c r="A9" s="44" t="s">
        <v>70</v>
      </c>
      <c r="B9" s="44"/>
      <c r="C9" s="46" t="s">
        <v>0</v>
      </c>
      <c r="D9" s="49">
        <f>D5+(D6*2)</f>
        <v>80.099999999999994</v>
      </c>
      <c r="E9" s="49">
        <f>E5+(E6*2)</f>
        <v>800.4</v>
      </c>
      <c r="F9" s="49">
        <f>F5+(F6*2)</f>
        <v>80002</v>
      </c>
      <c r="G9" s="24"/>
      <c r="H9" s="25"/>
      <c r="I9" s="25"/>
    </row>
    <row r="10" spans="1:9" x14ac:dyDescent="0.3">
      <c r="A10" s="44" t="s">
        <v>69</v>
      </c>
      <c r="B10" s="44"/>
      <c r="C10" s="46" t="s">
        <v>58</v>
      </c>
      <c r="D10" s="28">
        <f>SUM(3.1416*3.1416)*(D8/2+D9/2)*(D8/2-D9/2)*(D8/2-D9/2)/4</f>
        <v>21764.800156176025</v>
      </c>
      <c r="E10" s="28">
        <f>SUM(3.1416*3.1416)*(E8/2+E9/2)*(E8/2-E9/2)*(E8/2-E9/2)/4</f>
        <v>22029415.357340172</v>
      </c>
      <c r="F10" s="28">
        <f>SUM(3.1416*3.1416)*(F8/2+F9/2)*(F8/2-F9/2)*(F8/2-F9/2)/4</f>
        <v>22197831962764.551</v>
      </c>
      <c r="G10" s="50"/>
      <c r="H10" s="25" t="s">
        <v>68</v>
      </c>
      <c r="I10" s="25"/>
    </row>
    <row r="11" spans="1:9" x14ac:dyDescent="0.3">
      <c r="A11" s="44" t="s">
        <v>67</v>
      </c>
      <c r="B11" s="45"/>
      <c r="C11" s="46" t="s">
        <v>58</v>
      </c>
      <c r="D11" s="28">
        <f>SUM(D7-D10)</f>
        <v>441.91360382397397</v>
      </c>
      <c r="E11" s="28">
        <f>SUM(E7-E10)</f>
        <v>177298.40265982971</v>
      </c>
      <c r="F11" s="28">
        <f>SUM(F7-F10)</f>
        <v>8881797235.4492188</v>
      </c>
      <c r="G11" s="24"/>
      <c r="H11" s="25"/>
      <c r="I11" s="25"/>
    </row>
    <row r="12" spans="1:9" ht="28.8" x14ac:dyDescent="0.3">
      <c r="A12" s="44" t="s">
        <v>66</v>
      </c>
      <c r="B12" s="44"/>
      <c r="C12" s="46" t="s">
        <v>58</v>
      </c>
      <c r="D12" s="28">
        <f>(3.1416*D6*D8*(D4-2*D6))</f>
        <v>155.35369080000001</v>
      </c>
      <c r="E12" s="28">
        <f>(3.1416*E6/4*(E8*E8-(E9*E9)))</f>
        <v>56322.604800000016</v>
      </c>
      <c r="F12" s="28">
        <f>(3.1416*F6/4*(F8*F8-(F9*F9)))</f>
        <v>2826874512</v>
      </c>
      <c r="G12" s="24"/>
      <c r="H12" s="25" t="s">
        <v>65</v>
      </c>
      <c r="I12" s="25"/>
    </row>
    <row r="13" spans="1:9" x14ac:dyDescent="0.3">
      <c r="A13" s="44" t="s">
        <v>63</v>
      </c>
      <c r="B13" s="44"/>
      <c r="C13" s="46" t="s">
        <v>9</v>
      </c>
      <c r="D13" s="51">
        <v>4</v>
      </c>
      <c r="E13" s="51">
        <v>5</v>
      </c>
      <c r="F13" s="51">
        <v>6</v>
      </c>
      <c r="G13" s="24"/>
      <c r="H13" s="25" t="s">
        <v>64</v>
      </c>
      <c r="I13" s="25"/>
    </row>
    <row r="14" spans="1:9" x14ac:dyDescent="0.3">
      <c r="A14" s="44" t="s">
        <v>63</v>
      </c>
      <c r="B14" s="45"/>
      <c r="C14" s="46" t="s">
        <v>58</v>
      </c>
      <c r="D14" s="28">
        <f>SUM(D13*D12)+D12</f>
        <v>776.76845400000002</v>
      </c>
      <c r="E14" s="28">
        <f>SUM(E13*E12)+E12</f>
        <v>337935.62880000012</v>
      </c>
      <c r="F14" s="28">
        <f>SUM(F13*F12)+F12</f>
        <v>19788121584</v>
      </c>
      <c r="G14" s="24"/>
      <c r="H14" s="25"/>
      <c r="I14" s="25"/>
    </row>
    <row r="15" spans="1:9" x14ac:dyDescent="0.3">
      <c r="A15" s="44" t="s">
        <v>62</v>
      </c>
      <c r="B15" s="45"/>
      <c r="C15" s="46" t="s">
        <v>58</v>
      </c>
      <c r="D15" s="28">
        <f>D10-D14</f>
        <v>20988.031702176024</v>
      </c>
      <c r="E15" s="28">
        <f>E10-E14</f>
        <v>21691479.728540171</v>
      </c>
      <c r="F15" s="28">
        <f>F10-F14</f>
        <v>22178043841180.551</v>
      </c>
      <c r="G15" s="24">
        <v>932</v>
      </c>
      <c r="H15" s="25"/>
      <c r="I15" s="25" t="s">
        <v>49</v>
      </c>
    </row>
    <row r="16" spans="1:9" x14ac:dyDescent="0.3">
      <c r="A16" s="45" t="s">
        <v>61</v>
      </c>
      <c r="B16" s="45"/>
      <c r="C16" s="52" t="s">
        <v>58</v>
      </c>
      <c r="D16" s="26">
        <f>D11+D14</f>
        <v>1218.682057823974</v>
      </c>
      <c r="E16" s="26">
        <f>E11+E14</f>
        <v>515234.03145982983</v>
      </c>
      <c r="F16" s="26">
        <f>F11+F14</f>
        <v>28669918819.449219</v>
      </c>
      <c r="G16" s="24"/>
      <c r="H16" s="25"/>
      <c r="I16" s="25"/>
    </row>
    <row r="17" spans="1:9" x14ac:dyDescent="0.3">
      <c r="A17" s="45" t="s">
        <v>60</v>
      </c>
      <c r="B17" s="45"/>
      <c r="C17" s="52"/>
      <c r="D17" s="26">
        <v>50</v>
      </c>
      <c r="E17" s="26">
        <v>100000</v>
      </c>
      <c r="F17" s="26">
        <v>50000000</v>
      </c>
      <c r="G17" s="24">
        <v>6</v>
      </c>
      <c r="H17" s="25"/>
      <c r="I17" s="25"/>
    </row>
    <row r="18" spans="1:9" x14ac:dyDescent="0.3">
      <c r="A18" s="45" t="s">
        <v>59</v>
      </c>
      <c r="B18" s="45"/>
      <c r="C18" s="52" t="s">
        <v>58</v>
      </c>
      <c r="D18" s="26">
        <f>D15/D17</f>
        <v>419.7606340435205</v>
      </c>
      <c r="E18" s="26">
        <f>E15/E17</f>
        <v>216.9147972854017</v>
      </c>
      <c r="F18" s="26">
        <f>F15/F17</f>
        <v>443560.87682361103</v>
      </c>
      <c r="G18" s="24">
        <f>SUM(G15/G17)</f>
        <v>155.33333333333334</v>
      </c>
      <c r="H18" s="25"/>
      <c r="I18" s="25"/>
    </row>
    <row r="20" spans="1:9" ht="18" x14ac:dyDescent="0.3">
      <c r="A20" s="10" t="s">
        <v>57</v>
      </c>
      <c r="B20" s="10"/>
    </row>
    <row r="22" spans="1:9" x14ac:dyDescent="0.3">
      <c r="A22" s="44" t="s">
        <v>56</v>
      </c>
      <c r="B22" s="44"/>
      <c r="C22" s="46"/>
      <c r="D22" s="27"/>
      <c r="E22" s="27"/>
      <c r="F22" s="27"/>
      <c r="G22" s="24"/>
      <c r="H22" s="25"/>
      <c r="I22" s="25"/>
    </row>
    <row r="23" spans="1:9" x14ac:dyDescent="0.3">
      <c r="A23" s="44" t="s">
        <v>55</v>
      </c>
      <c r="B23" s="44"/>
      <c r="C23" s="46" t="s">
        <v>54</v>
      </c>
      <c r="D23" s="35">
        <f>'Materials Table'!E23</f>
        <v>2705</v>
      </c>
      <c r="E23" s="35">
        <f>'Materials Table'!F23</f>
        <v>2840</v>
      </c>
      <c r="F23" s="35">
        <f>'Materials Table'!G23</f>
        <v>2840</v>
      </c>
      <c r="G23" s="24"/>
      <c r="H23" s="25" t="s">
        <v>53</v>
      </c>
      <c r="I23" s="25"/>
    </row>
    <row r="24" spans="1:9" x14ac:dyDescent="0.3">
      <c r="A24" s="44" t="s">
        <v>52</v>
      </c>
      <c r="B24" s="44"/>
      <c r="C24" s="46" t="s">
        <v>9</v>
      </c>
      <c r="D24" s="23">
        <v>0.75</v>
      </c>
      <c r="E24" s="23">
        <v>0.75</v>
      </c>
      <c r="F24" s="23">
        <v>0.75</v>
      </c>
      <c r="G24" s="24"/>
      <c r="H24" s="25"/>
      <c r="I24" s="25"/>
    </row>
    <row r="25" spans="1:9" x14ac:dyDescent="0.3">
      <c r="A25" s="45" t="s">
        <v>51</v>
      </c>
      <c r="B25" s="45"/>
      <c r="C25" s="52" t="s">
        <v>50</v>
      </c>
      <c r="D25" s="26">
        <f>SUM(D16)*D23/1000*D24</f>
        <v>2472.4012248103872</v>
      </c>
      <c r="E25" s="26">
        <f>SUM(E16)*E23/1000*E24</f>
        <v>1097448.4870094375</v>
      </c>
      <c r="F25" s="26">
        <f>SUM(F16)*F23/1000*F24</f>
        <v>61066927085.426834</v>
      </c>
      <c r="G25" s="24">
        <v>420</v>
      </c>
      <c r="H25" s="25"/>
      <c r="I25" s="25" t="s">
        <v>49</v>
      </c>
    </row>
    <row r="26" spans="1:9" x14ac:dyDescent="0.3">
      <c r="A26" s="45" t="s">
        <v>48</v>
      </c>
      <c r="B26" s="45"/>
      <c r="C26" s="52"/>
      <c r="D26" s="33">
        <f>SUM(D25/64)</f>
        <v>38.631269137662301</v>
      </c>
      <c r="E26" s="33">
        <f>SUM(E25/64)</f>
        <v>17147.632609522461</v>
      </c>
      <c r="F26" s="33">
        <f>SUM(F25/64)</f>
        <v>954170735.70979428</v>
      </c>
      <c r="G26" s="24"/>
      <c r="H26" s="25" t="s">
        <v>47</v>
      </c>
      <c r="I26" s="25"/>
    </row>
    <row r="27" spans="1:9" x14ac:dyDescent="0.3">
      <c r="A27" s="45" t="s">
        <v>46</v>
      </c>
      <c r="B27" s="45"/>
      <c r="C27" s="52" t="s">
        <v>24</v>
      </c>
      <c r="D27" s="37">
        <f>SUM(365/(D26/D42))</f>
        <v>25.355676755690446</v>
      </c>
      <c r="E27" s="37">
        <f>SUM(365/(E26/E42))</f>
        <v>9.6601557217102341E-2</v>
      </c>
      <c r="F27" s="37">
        <f>SUM(365/(F26/F42))</f>
        <v>3.864062288684093E-6</v>
      </c>
      <c r="G27" s="24"/>
      <c r="H27" s="25"/>
      <c r="I27" s="25"/>
    </row>
    <row r="29" spans="1:9" ht="18" x14ac:dyDescent="0.3">
      <c r="A29" s="10" t="s">
        <v>45</v>
      </c>
      <c r="B29" s="10"/>
    </row>
    <row r="31" spans="1:9" x14ac:dyDescent="0.3">
      <c r="A31" s="44" t="s">
        <v>44</v>
      </c>
      <c r="B31" s="44"/>
      <c r="C31" s="46" t="s">
        <v>43</v>
      </c>
      <c r="D31" s="36">
        <v>0.5</v>
      </c>
      <c r="E31" s="36">
        <v>1</v>
      </c>
      <c r="F31" s="36">
        <v>1</v>
      </c>
      <c r="G31" s="24"/>
      <c r="H31" s="25" t="s">
        <v>42</v>
      </c>
      <c r="I31" s="25"/>
    </row>
    <row r="32" spans="1:9" ht="28.8" x14ac:dyDescent="0.3">
      <c r="A32" s="44" t="s">
        <v>41</v>
      </c>
      <c r="B32" s="44"/>
      <c r="C32" s="46" t="s">
        <v>38</v>
      </c>
      <c r="D32" s="27">
        <v>4</v>
      </c>
      <c r="E32" s="27">
        <v>100</v>
      </c>
      <c r="F32" s="27">
        <v>2000</v>
      </c>
      <c r="G32" s="24"/>
      <c r="H32" s="25" t="s">
        <v>40</v>
      </c>
      <c r="I32" s="25"/>
    </row>
    <row r="33" spans="1:9" x14ac:dyDescent="0.3">
      <c r="A33" s="44" t="s">
        <v>39</v>
      </c>
      <c r="B33" s="44"/>
      <c r="C33" s="46" t="s">
        <v>38</v>
      </c>
      <c r="D33" s="27">
        <v>2</v>
      </c>
      <c r="E33" s="27">
        <v>10</v>
      </c>
      <c r="F33" s="27">
        <v>500</v>
      </c>
      <c r="G33" s="24"/>
      <c r="H33" s="25"/>
      <c r="I33" s="25"/>
    </row>
    <row r="34" spans="1:9" x14ac:dyDescent="0.3">
      <c r="A34" s="44" t="s">
        <v>37</v>
      </c>
      <c r="B34" s="44"/>
      <c r="C34" s="46" t="s">
        <v>36</v>
      </c>
      <c r="D34" s="28">
        <f>SUM(D32*D31*D33)</f>
        <v>4</v>
      </c>
      <c r="E34" s="28">
        <f>SUM(E32*E31*E33)</f>
        <v>1000</v>
      </c>
      <c r="F34" s="28">
        <f>SUM(F32*F31*F33)</f>
        <v>1000000</v>
      </c>
      <c r="G34" s="24"/>
      <c r="H34" s="25"/>
      <c r="I34" s="25"/>
    </row>
    <row r="35" spans="1:9" x14ac:dyDescent="0.3">
      <c r="A35" s="44" t="s">
        <v>35</v>
      </c>
      <c r="B35" s="44"/>
      <c r="C35" s="46" t="s">
        <v>34</v>
      </c>
      <c r="D35" s="29">
        <f>D31/(3.1416*D3)*60</f>
        <v>9.549274255156609E-2</v>
      </c>
      <c r="E35" s="29">
        <f>E31/(3.1416*E3)*60</f>
        <v>1.9098548510313215E-2</v>
      </c>
      <c r="F35" s="29">
        <f>F31/(3.1416*F3)*60</f>
        <v>1.9098548510313216E-4</v>
      </c>
      <c r="G35" s="30"/>
      <c r="H35" s="25" t="s">
        <v>33</v>
      </c>
      <c r="I35" s="25"/>
    </row>
    <row r="36" spans="1:9" x14ac:dyDescent="0.3">
      <c r="A36" s="44" t="s">
        <v>32</v>
      </c>
      <c r="B36" s="44"/>
      <c r="C36" s="46"/>
      <c r="D36" s="31">
        <f>D35*D35*1.118*0.001*(D3/2)</f>
        <v>5.0974449089310027E-4</v>
      </c>
      <c r="E36" s="31">
        <f>E35*E35*1.118*0.001*(E3/2)</f>
        <v>2.0389779635724003E-4</v>
      </c>
      <c r="F36" s="31">
        <f>F35*F35*1.118*0.001*(F3/2)</f>
        <v>2.0389779635724004E-6</v>
      </c>
      <c r="G36" s="30"/>
      <c r="H36" s="25"/>
      <c r="I36" s="25"/>
    </row>
    <row r="37" spans="1:9" ht="28.8" x14ac:dyDescent="0.3">
      <c r="A37" s="44" t="s">
        <v>31</v>
      </c>
      <c r="B37" s="44"/>
      <c r="C37" s="46"/>
      <c r="D37" s="32">
        <v>4</v>
      </c>
      <c r="E37" s="32">
        <v>4</v>
      </c>
      <c r="F37" s="32">
        <v>100</v>
      </c>
      <c r="G37" s="24"/>
      <c r="H37" s="25" t="s">
        <v>30</v>
      </c>
      <c r="I37" s="25"/>
    </row>
    <row r="38" spans="1:9" x14ac:dyDescent="0.3">
      <c r="A38" s="44" t="s">
        <v>29</v>
      </c>
      <c r="B38" s="44"/>
      <c r="C38" s="46" t="s">
        <v>27</v>
      </c>
      <c r="D38" s="29">
        <f>D39/D37</f>
        <v>1.082E-2</v>
      </c>
      <c r="E38" s="29">
        <f>E39/E37</f>
        <v>2.84</v>
      </c>
      <c r="F38" s="29">
        <f>F39/F37</f>
        <v>2840</v>
      </c>
      <c r="G38" s="24"/>
      <c r="H38" s="25"/>
      <c r="I38" s="25"/>
    </row>
    <row r="39" spans="1:9" x14ac:dyDescent="0.3">
      <c r="A39" s="44" t="s">
        <v>28</v>
      </c>
      <c r="B39" s="44"/>
      <c r="C39" s="46" t="s">
        <v>27</v>
      </c>
      <c r="D39" s="29">
        <f>SUM(D34*D23*D37)/1000000</f>
        <v>4.3279999999999999E-2</v>
      </c>
      <c r="E39" s="29">
        <f>SUM(E34*E23*E37)/1000000</f>
        <v>11.36</v>
      </c>
      <c r="F39" s="29">
        <f>SUM(F34*F23*F37)/1000000</f>
        <v>284000</v>
      </c>
      <c r="G39" s="30"/>
      <c r="H39" s="25"/>
      <c r="I39" s="25"/>
    </row>
    <row r="40" spans="1:9" x14ac:dyDescent="0.3">
      <c r="A40" s="44" t="s">
        <v>26</v>
      </c>
      <c r="B40" s="44"/>
      <c r="C40" s="46" t="s">
        <v>9</v>
      </c>
      <c r="D40" s="23">
        <v>0.9</v>
      </c>
      <c r="E40" s="23">
        <v>0.9</v>
      </c>
      <c r="F40" s="23">
        <v>0.9</v>
      </c>
      <c r="G40" s="30"/>
      <c r="H40" s="25" t="s">
        <v>25</v>
      </c>
      <c r="I40" s="25"/>
    </row>
    <row r="41" spans="1:9" x14ac:dyDescent="0.3">
      <c r="A41" s="44" t="s">
        <v>23</v>
      </c>
      <c r="B41" s="44"/>
      <c r="C41" s="46" t="s">
        <v>24</v>
      </c>
      <c r="D41" s="53">
        <f>SUM(D25/D39)*1000/D40/D24/60/60/24</f>
        <v>979.52197291664572</v>
      </c>
      <c r="E41" s="53">
        <f>SUM(E25/E39)*1000/E40/E24/60/60/24</f>
        <v>1656.4880126666342</v>
      </c>
      <c r="F41" s="53">
        <f>SUM(F25/F39)*1000/F40/F24/60/60/24</f>
        <v>3686.9751568221727</v>
      </c>
      <c r="G41" s="30"/>
      <c r="H41" s="25"/>
      <c r="I41" s="25"/>
    </row>
    <row r="42" spans="1:9" x14ac:dyDescent="0.3">
      <c r="A42" s="45" t="s">
        <v>23</v>
      </c>
      <c r="B42" s="45"/>
      <c r="C42" s="52" t="s">
        <v>22</v>
      </c>
      <c r="D42" s="37">
        <f>SUM(D41)/365</f>
        <v>2.6836218436072485</v>
      </c>
      <c r="E42" s="37">
        <f>SUM(E41)/365</f>
        <v>4.5383233223743398</v>
      </c>
      <c r="F42" s="37">
        <f>SUM(F41)/365</f>
        <v>10.101301799512802</v>
      </c>
      <c r="G42" s="30"/>
      <c r="H42" s="25"/>
      <c r="I42" s="25"/>
    </row>
    <row r="43" spans="1:9" x14ac:dyDescent="0.3">
      <c r="D43" s="9"/>
      <c r="E43" s="9"/>
      <c r="F43" s="9"/>
      <c r="G43" s="8"/>
    </row>
    <row r="44" spans="1:9" ht="18" x14ac:dyDescent="0.3">
      <c r="A44" s="10" t="s">
        <v>21</v>
      </c>
      <c r="B44" s="10"/>
      <c r="G44" s="8"/>
    </row>
    <row r="45" spans="1:9" x14ac:dyDescent="0.3">
      <c r="G45" s="8"/>
    </row>
    <row r="46" spans="1:9" x14ac:dyDescent="0.3">
      <c r="A46" s="54" t="s">
        <v>20</v>
      </c>
      <c r="B46" s="54"/>
      <c r="C46" s="55" t="s">
        <v>19</v>
      </c>
      <c r="D46" s="38">
        <f>'Materials Table'!K$23*3600/1000000</f>
        <v>2.0699999999999998</v>
      </c>
      <c r="E46" s="38">
        <f>'Materials Table'!L$23*3600/1000000</f>
        <v>0.54</v>
      </c>
      <c r="F46" s="38">
        <f>'Materials Table'!M$23*3600/1000000</f>
        <v>0.54</v>
      </c>
      <c r="G46" s="39"/>
      <c r="H46" s="20"/>
      <c r="I46" s="20"/>
    </row>
    <row r="47" spans="1:9" x14ac:dyDescent="0.3">
      <c r="A47" s="54" t="s">
        <v>18</v>
      </c>
      <c r="B47" s="54"/>
      <c r="C47" s="55" t="s">
        <v>17</v>
      </c>
      <c r="D47" s="21">
        <f>SUM(D25*D46)</f>
        <v>5117.8705353575015</v>
      </c>
      <c r="E47" s="21">
        <f>SUM(E25*E46)</f>
        <v>592622.18298509635</v>
      </c>
      <c r="F47" s="21">
        <f>SUM(F25*F46)</f>
        <v>32976140626.130493</v>
      </c>
      <c r="G47" s="39"/>
      <c r="H47" s="20"/>
      <c r="I47" s="20"/>
    </row>
    <row r="48" spans="1:9" ht="28.8" x14ac:dyDescent="0.3">
      <c r="A48" s="56" t="s">
        <v>16</v>
      </c>
      <c r="B48" s="56"/>
      <c r="C48" s="57" t="s">
        <v>15</v>
      </c>
      <c r="D48" s="22">
        <f>SUM(D47/D41)*1000000/24/60/60</f>
        <v>60.47298</v>
      </c>
      <c r="E48" s="22">
        <f>SUM(E47/E41)*1000000/24/60/60</f>
        <v>4140.72</v>
      </c>
      <c r="F48" s="22">
        <f>SUM(F47/F41)*1000000/24/60/60</f>
        <v>103518000.00000001</v>
      </c>
      <c r="G48" s="40">
        <v>120</v>
      </c>
      <c r="H48" s="20" t="s">
        <v>14</v>
      </c>
      <c r="I48" s="20"/>
    </row>
    <row r="49" spans="1:9" ht="28.8" x14ac:dyDescent="0.3">
      <c r="A49" s="54" t="s">
        <v>13</v>
      </c>
      <c r="B49" s="54"/>
      <c r="C49" s="55" t="s">
        <v>12</v>
      </c>
      <c r="D49" s="41">
        <v>1365</v>
      </c>
      <c r="E49" s="41">
        <v>1365</v>
      </c>
      <c r="F49" s="41">
        <v>1365</v>
      </c>
      <c r="G49" s="40"/>
      <c r="H49" s="20"/>
      <c r="I49" s="42" t="s">
        <v>11</v>
      </c>
    </row>
    <row r="50" spans="1:9" x14ac:dyDescent="0.3">
      <c r="A50" s="54" t="s">
        <v>10</v>
      </c>
      <c r="B50" s="54"/>
      <c r="C50" s="55" t="s">
        <v>9</v>
      </c>
      <c r="D50" s="43">
        <v>0.3</v>
      </c>
      <c r="E50" s="43">
        <v>0.35</v>
      </c>
      <c r="F50" s="43">
        <v>0.4</v>
      </c>
      <c r="G50" s="39"/>
      <c r="H50" s="20"/>
      <c r="I50" s="20"/>
    </row>
    <row r="51" spans="1:9" ht="28.8" x14ac:dyDescent="0.3">
      <c r="A51" s="56" t="s">
        <v>8</v>
      </c>
      <c r="B51" s="56"/>
      <c r="C51" s="57" t="s">
        <v>3</v>
      </c>
      <c r="D51" s="22">
        <f>SUM(D48/D49)*1000/D50</f>
        <v>147.67516483516485</v>
      </c>
      <c r="E51" s="22">
        <f>SUM(E48/E49)*1000/E50</f>
        <v>8667.1271585557315</v>
      </c>
      <c r="F51" s="22">
        <f>SUM(F48/F49)*1000/F50</f>
        <v>189593406.59340659</v>
      </c>
      <c r="G51" s="40">
        <v>2500</v>
      </c>
      <c r="H51" s="20"/>
      <c r="I51" s="42" t="s">
        <v>7</v>
      </c>
    </row>
    <row r="52" spans="1:9" x14ac:dyDescent="0.3">
      <c r="A52" s="54" t="s">
        <v>2</v>
      </c>
      <c r="B52" s="54"/>
      <c r="C52" s="55" t="s">
        <v>0</v>
      </c>
      <c r="D52" s="21">
        <f>SQRT(D51)</f>
        <v>12.152167083905852</v>
      </c>
      <c r="E52" s="21">
        <f>SQRT(E51)</f>
        <v>93.097406830457587</v>
      </c>
      <c r="F52" s="21">
        <f>SQRT(F51)</f>
        <v>13769.292160216755</v>
      </c>
      <c r="G52" s="40">
        <f>SQRT(G51)</f>
        <v>50</v>
      </c>
      <c r="H52" s="20" t="s">
        <v>6</v>
      </c>
      <c r="I52" s="20"/>
    </row>
    <row r="53" spans="1:9" x14ac:dyDescent="0.3">
      <c r="A53" s="54" t="s">
        <v>1</v>
      </c>
      <c r="B53" s="54"/>
      <c r="C53" s="55" t="s">
        <v>0</v>
      </c>
      <c r="D53" s="21">
        <f>SQRT(D51*4/3.14)</f>
        <v>13.715729258387318</v>
      </c>
      <c r="E53" s="21">
        <f>SQRT(E51*4/3.14)</f>
        <v>105.07581223398421</v>
      </c>
      <c r="F53" s="21">
        <f>SQRT(F51*4/3.14)</f>
        <v>15540.922211256129</v>
      </c>
      <c r="G53" s="40">
        <f>SQRT(G51*4/3.14)</f>
        <v>56.433264798310034</v>
      </c>
      <c r="H53" s="20" t="s">
        <v>5</v>
      </c>
      <c r="I53" s="20"/>
    </row>
    <row r="54" spans="1:9" x14ac:dyDescent="0.3">
      <c r="A54" s="54" t="s">
        <v>4</v>
      </c>
      <c r="B54" s="54"/>
      <c r="C54" s="55" t="s">
        <v>3</v>
      </c>
      <c r="D54" s="21">
        <f>D48/$G48*$G51</f>
        <v>1259.8537500000002</v>
      </c>
      <c r="E54" s="21">
        <f>E48/$G48*$G51</f>
        <v>86265</v>
      </c>
      <c r="F54" s="21">
        <f>F48/$G48*$G51</f>
        <v>2156625000.0000005</v>
      </c>
      <c r="G54" s="39"/>
      <c r="H54" s="42"/>
      <c r="I54" s="20"/>
    </row>
    <row r="55" spans="1:9" x14ac:dyDescent="0.3">
      <c r="A55" s="54" t="s">
        <v>2</v>
      </c>
      <c r="B55" s="54"/>
      <c r="C55" s="55" t="s">
        <v>0</v>
      </c>
      <c r="D55" s="21">
        <f>SQRT(D54)</f>
        <v>35.494418575319699</v>
      </c>
      <c r="E55" s="21">
        <f>SQRT(E54)</f>
        <v>293.70903969745297</v>
      </c>
      <c r="F55" s="21">
        <f>SQRT(F54)</f>
        <v>46439.476741238163</v>
      </c>
      <c r="G55" s="19"/>
      <c r="H55" s="20"/>
      <c r="I55" s="20"/>
    </row>
    <row r="56" spans="1:9" x14ac:dyDescent="0.3">
      <c r="A56" s="54" t="s">
        <v>1</v>
      </c>
      <c r="B56" s="54"/>
      <c r="C56" s="55" t="s">
        <v>0</v>
      </c>
      <c r="D56" s="21">
        <f>SQRT(D54*4/3.14)</f>
        <v>40.061318446461421</v>
      </c>
      <c r="E56" s="21">
        <f>SQRT(E54*4/3.14)</f>
        <v>331.49920021807435</v>
      </c>
      <c r="F56" s="21">
        <f>SQRT(F54*4/3.14)</f>
        <v>52414.625760665062</v>
      </c>
      <c r="G56" s="19"/>
      <c r="H56" s="20"/>
      <c r="I56" s="20"/>
    </row>
  </sheetData>
  <hyperlinks>
    <hyperlink ref="I49" r:id="rId1" xr:uid="{EB33C1DF-ECF8-4FD5-ADA6-18224E2D153C}"/>
    <hyperlink ref="I51" r:id="rId2" xr:uid="{034BA65E-1FEE-4291-B931-28D25BC770E1}"/>
  </hyperlinks>
  <pageMargins left="0.7" right="0.7" top="0.75" bottom="0.75" header="0.3" footer="0.3"/>
  <pageSetup paperSize="9" orientation="portrait" horizontalDpi="4294967293" verticalDpi="300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6" name="Drop Down 1">
              <controlPr defaultSize="0" autoLine="0" autoPict="0">
                <anchor moveWithCells="1">
                  <from>
                    <xdr:col>2</xdr:col>
                    <xdr:colOff>609600</xdr:colOff>
                    <xdr:row>20</xdr:row>
                    <xdr:rowOff>175260</xdr:rowOff>
                  </from>
                  <to>
                    <xdr:col>4</xdr:col>
                    <xdr:colOff>7620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7" name="Drop Down 2">
              <controlPr defaultSize="0" autoLine="0" autoPict="0">
                <anchor moveWithCells="1">
                  <from>
                    <xdr:col>4</xdr:col>
                    <xdr:colOff>0</xdr:colOff>
                    <xdr:row>20</xdr:row>
                    <xdr:rowOff>182880</xdr:rowOff>
                  </from>
                  <to>
                    <xdr:col>5</xdr:col>
                    <xdr:colOff>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8" name="Drop Down 3">
              <controlPr defaultSize="0" autoLine="0" autoPict="0">
                <anchor moveWithCells="1">
                  <from>
                    <xdr:col>5</xdr:col>
                    <xdr:colOff>0</xdr:colOff>
                    <xdr:row>20</xdr:row>
                    <xdr:rowOff>175260</xdr:rowOff>
                  </from>
                  <to>
                    <xdr:col>6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07AA-9FD1-449B-8F1E-C4165BA429F5}">
  <sheetPr codeName="Sheet24"/>
  <dimension ref="A1:O23"/>
  <sheetViews>
    <sheetView topLeftCell="H1" workbookViewId="0">
      <selection activeCell="E8" sqref="E8"/>
    </sheetView>
  </sheetViews>
  <sheetFormatPr defaultColWidth="9.109375" defaultRowHeight="14.4" x14ac:dyDescent="0.3"/>
  <cols>
    <col min="1" max="7" width="0" style="14" hidden="1" customWidth="1"/>
    <col min="8" max="8" width="15.44140625" style="14" bestFit="1" customWidth="1"/>
    <col min="9" max="9" width="10.5546875" style="15" customWidth="1"/>
    <col min="10" max="10" width="65.6640625" style="14" customWidth="1"/>
    <col min="11" max="13" width="9.33203125" style="14" hidden="1" customWidth="1"/>
    <col min="14" max="14" width="11.5546875" style="15" bestFit="1" customWidth="1"/>
    <col min="15" max="15" width="65.6640625" style="14" customWidth="1"/>
    <col min="16" max="16384" width="9.109375" style="14"/>
  </cols>
  <sheetData>
    <row r="1" spans="1:15" ht="28.8" x14ac:dyDescent="0.3">
      <c r="E1" s="14">
        <v>1</v>
      </c>
      <c r="F1" s="14">
        <v>2</v>
      </c>
      <c r="G1" s="14">
        <v>3</v>
      </c>
      <c r="H1" s="14" t="s">
        <v>103</v>
      </c>
      <c r="I1" s="15" t="s">
        <v>102</v>
      </c>
      <c r="J1" s="14" t="s">
        <v>83</v>
      </c>
      <c r="N1" s="15" t="s">
        <v>101</v>
      </c>
      <c r="O1" s="14" t="s">
        <v>83</v>
      </c>
    </row>
    <row r="2" spans="1:15" x14ac:dyDescent="0.3">
      <c r="A2" s="14">
        <v>1</v>
      </c>
      <c r="B2" s="14">
        <v>2</v>
      </c>
      <c r="C2" s="14">
        <v>1</v>
      </c>
      <c r="D2" s="14">
        <v>1</v>
      </c>
      <c r="E2" s="14" t="str">
        <f t="shared" ref="E2:E21" si="0">IF(B2=A2,I2,"")</f>
        <v/>
      </c>
      <c r="F2" s="14">
        <f t="shared" ref="F2:F21" si="1">IF(C2=A2,I2,"")</f>
        <v>2840</v>
      </c>
      <c r="G2" s="14">
        <f t="shared" ref="G2:G21" si="2">IF(D2=A2,I2,"")</f>
        <v>2840</v>
      </c>
      <c r="H2" s="14" t="s">
        <v>100</v>
      </c>
      <c r="I2" s="15">
        <v>2840</v>
      </c>
      <c r="J2" s="16" t="s">
        <v>99</v>
      </c>
      <c r="K2" s="14" t="str">
        <f t="shared" ref="K2:K21" si="3">IF(A2=B2,N2,"")</f>
        <v/>
      </c>
      <c r="L2" s="14">
        <f t="shared" ref="L2:L21" si="4">IF(C2=A2,N2,"")</f>
        <v>150</v>
      </c>
      <c r="M2" s="14">
        <f t="shared" ref="M2:M21" si="5">IF(D2=A2,N2,"")</f>
        <v>150</v>
      </c>
      <c r="N2" s="15">
        <v>150</v>
      </c>
      <c r="O2" s="18" t="s">
        <v>98</v>
      </c>
    </row>
    <row r="3" spans="1:15" ht="28.8" x14ac:dyDescent="0.3">
      <c r="A3" s="14">
        <v>2</v>
      </c>
      <c r="B3" s="14">
        <f t="shared" ref="B3:B21" si="6">B2</f>
        <v>2</v>
      </c>
      <c r="C3" s="14">
        <f t="shared" ref="C3:C21" si="7">C2</f>
        <v>1</v>
      </c>
      <c r="D3" s="14">
        <f t="shared" ref="D3:D21" si="8">D2</f>
        <v>1</v>
      </c>
      <c r="E3" s="14">
        <f t="shared" si="0"/>
        <v>2705</v>
      </c>
      <c r="F3" s="14" t="str">
        <f t="shared" si="1"/>
        <v/>
      </c>
      <c r="G3" s="14" t="str">
        <f t="shared" si="2"/>
        <v/>
      </c>
      <c r="H3" s="14" t="s">
        <v>97</v>
      </c>
      <c r="I3" s="15">
        <v>2705</v>
      </c>
      <c r="J3" s="16" t="s">
        <v>95</v>
      </c>
      <c r="K3" s="14">
        <f t="shared" si="3"/>
        <v>575</v>
      </c>
      <c r="L3" s="14" t="str">
        <f t="shared" si="4"/>
        <v/>
      </c>
      <c r="M3" s="14" t="str">
        <f t="shared" si="5"/>
        <v/>
      </c>
      <c r="N3" s="15">
        <v>575</v>
      </c>
      <c r="O3" s="16" t="s">
        <v>94</v>
      </c>
    </row>
    <row r="4" spans="1:15" ht="28.8" x14ac:dyDescent="0.3">
      <c r="A4" s="14">
        <v>3</v>
      </c>
      <c r="B4" s="14">
        <f t="shared" si="6"/>
        <v>2</v>
      </c>
      <c r="C4" s="14">
        <f t="shared" si="7"/>
        <v>1</v>
      </c>
      <c r="D4" s="14">
        <f t="shared" si="8"/>
        <v>1</v>
      </c>
      <c r="E4" s="14" t="str">
        <f t="shared" si="0"/>
        <v/>
      </c>
      <c r="F4" s="14" t="str">
        <f t="shared" si="1"/>
        <v/>
      </c>
      <c r="G4" s="14" t="str">
        <f t="shared" si="2"/>
        <v/>
      </c>
      <c r="H4" s="14" t="s">
        <v>96</v>
      </c>
      <c r="I4" s="15">
        <v>7850</v>
      </c>
      <c r="J4" s="16" t="s">
        <v>95</v>
      </c>
      <c r="K4" s="14" t="str">
        <f t="shared" si="3"/>
        <v/>
      </c>
      <c r="L4" s="14" t="str">
        <f t="shared" si="4"/>
        <v/>
      </c>
      <c r="M4" s="14" t="str">
        <f t="shared" si="5"/>
        <v/>
      </c>
      <c r="N4" s="15">
        <v>600</v>
      </c>
      <c r="O4" s="16" t="s">
        <v>94</v>
      </c>
    </row>
    <row r="5" spans="1:15" ht="57.6" x14ac:dyDescent="0.3">
      <c r="A5" s="14">
        <v>4</v>
      </c>
      <c r="B5" s="14">
        <f t="shared" si="6"/>
        <v>2</v>
      </c>
      <c r="C5" s="14">
        <f t="shared" si="7"/>
        <v>1</v>
      </c>
      <c r="D5" s="14">
        <f t="shared" si="8"/>
        <v>1</v>
      </c>
      <c r="E5" s="14" t="str">
        <f t="shared" si="0"/>
        <v/>
      </c>
      <c r="F5" s="14" t="str">
        <f t="shared" si="1"/>
        <v/>
      </c>
      <c r="G5" s="14" t="str">
        <f t="shared" si="2"/>
        <v/>
      </c>
      <c r="H5" s="14" t="s">
        <v>93</v>
      </c>
      <c r="I5" s="15">
        <v>1100</v>
      </c>
      <c r="J5" s="16" t="s">
        <v>92</v>
      </c>
      <c r="K5" s="14" t="str">
        <f t="shared" si="3"/>
        <v/>
      </c>
      <c r="L5" s="14" t="str">
        <f t="shared" si="4"/>
        <v/>
      </c>
      <c r="M5" s="14" t="str">
        <f t="shared" si="5"/>
        <v/>
      </c>
      <c r="N5" s="17">
        <f>0.00029307*342*1000</f>
        <v>100.22993999999998</v>
      </c>
      <c r="O5" s="16" t="s">
        <v>91</v>
      </c>
    </row>
    <row r="6" spans="1:15" x14ac:dyDescent="0.3">
      <c r="A6" s="14">
        <v>5</v>
      </c>
      <c r="B6" s="14">
        <f t="shared" si="6"/>
        <v>2</v>
      </c>
      <c r="C6" s="14">
        <f t="shared" si="7"/>
        <v>1</v>
      </c>
      <c r="D6" s="14">
        <f t="shared" si="8"/>
        <v>1</v>
      </c>
      <c r="E6" s="14" t="str">
        <f t="shared" si="0"/>
        <v/>
      </c>
      <c r="F6" s="14" t="str">
        <f t="shared" si="1"/>
        <v/>
      </c>
      <c r="G6" s="14" t="str">
        <f t="shared" si="2"/>
        <v/>
      </c>
      <c r="H6" s="14" t="s">
        <v>90</v>
      </c>
      <c r="K6" s="14" t="str">
        <f t="shared" si="3"/>
        <v/>
      </c>
      <c r="L6" s="14" t="str">
        <f t="shared" si="4"/>
        <v/>
      </c>
      <c r="M6" s="14" t="str">
        <f t="shared" si="5"/>
        <v/>
      </c>
    </row>
    <row r="7" spans="1:15" x14ac:dyDescent="0.3">
      <c r="A7" s="14">
        <v>6</v>
      </c>
      <c r="B7" s="14">
        <f t="shared" si="6"/>
        <v>2</v>
      </c>
      <c r="C7" s="14">
        <f t="shared" si="7"/>
        <v>1</v>
      </c>
      <c r="D7" s="14">
        <f t="shared" si="8"/>
        <v>1</v>
      </c>
      <c r="E7" s="14" t="str">
        <f t="shared" si="0"/>
        <v/>
      </c>
      <c r="F7" s="14" t="str">
        <f t="shared" si="1"/>
        <v/>
      </c>
      <c r="G7" s="14" t="str">
        <f t="shared" si="2"/>
        <v/>
      </c>
      <c r="H7" s="14" t="s">
        <v>90</v>
      </c>
      <c r="K7" s="14" t="str">
        <f t="shared" si="3"/>
        <v/>
      </c>
      <c r="L7" s="14" t="str">
        <f t="shared" si="4"/>
        <v/>
      </c>
      <c r="M7" s="14" t="str">
        <f t="shared" si="5"/>
        <v/>
      </c>
    </row>
    <row r="8" spans="1:15" x14ac:dyDescent="0.3">
      <c r="A8" s="14">
        <v>7</v>
      </c>
      <c r="B8" s="14">
        <f t="shared" si="6"/>
        <v>2</v>
      </c>
      <c r="C8" s="14">
        <f t="shared" si="7"/>
        <v>1</v>
      </c>
      <c r="D8" s="14">
        <f t="shared" si="8"/>
        <v>1</v>
      </c>
      <c r="E8" s="14" t="str">
        <f t="shared" si="0"/>
        <v/>
      </c>
      <c r="F8" s="14" t="str">
        <f t="shared" si="1"/>
        <v/>
      </c>
      <c r="G8" s="14" t="str">
        <f t="shared" si="2"/>
        <v/>
      </c>
      <c r="H8" s="14" t="s">
        <v>90</v>
      </c>
      <c r="K8" s="14" t="str">
        <f t="shared" si="3"/>
        <v/>
      </c>
      <c r="L8" s="14" t="str">
        <f t="shared" si="4"/>
        <v/>
      </c>
      <c r="M8" s="14" t="str">
        <f t="shared" si="5"/>
        <v/>
      </c>
    </row>
    <row r="9" spans="1:15" x14ac:dyDescent="0.3">
      <c r="A9" s="14">
        <v>8</v>
      </c>
      <c r="B9" s="14">
        <f t="shared" si="6"/>
        <v>2</v>
      </c>
      <c r="C9" s="14">
        <f t="shared" si="7"/>
        <v>1</v>
      </c>
      <c r="D9" s="14">
        <f t="shared" si="8"/>
        <v>1</v>
      </c>
      <c r="E9" s="14" t="str">
        <f t="shared" si="0"/>
        <v/>
      </c>
      <c r="F9" s="14" t="str">
        <f t="shared" si="1"/>
        <v/>
      </c>
      <c r="G9" s="14" t="str">
        <f t="shared" si="2"/>
        <v/>
      </c>
      <c r="H9" s="14" t="s">
        <v>90</v>
      </c>
      <c r="K9" s="14" t="str">
        <f t="shared" si="3"/>
        <v/>
      </c>
      <c r="L9" s="14" t="str">
        <f t="shared" si="4"/>
        <v/>
      </c>
      <c r="M9" s="14" t="str">
        <f t="shared" si="5"/>
        <v/>
      </c>
    </row>
    <row r="10" spans="1:15" x14ac:dyDescent="0.3">
      <c r="A10" s="14">
        <v>9</v>
      </c>
      <c r="B10" s="14">
        <f t="shared" si="6"/>
        <v>2</v>
      </c>
      <c r="C10" s="14">
        <f t="shared" si="7"/>
        <v>1</v>
      </c>
      <c r="D10" s="14">
        <f t="shared" si="8"/>
        <v>1</v>
      </c>
      <c r="E10" s="14" t="str">
        <f t="shared" si="0"/>
        <v/>
      </c>
      <c r="F10" s="14" t="str">
        <f t="shared" si="1"/>
        <v/>
      </c>
      <c r="G10" s="14" t="str">
        <f t="shared" si="2"/>
        <v/>
      </c>
      <c r="H10" s="14" t="s">
        <v>90</v>
      </c>
      <c r="K10" s="14" t="str">
        <f t="shared" si="3"/>
        <v/>
      </c>
      <c r="L10" s="14" t="str">
        <f t="shared" si="4"/>
        <v/>
      </c>
      <c r="M10" s="14" t="str">
        <f t="shared" si="5"/>
        <v/>
      </c>
    </row>
    <row r="11" spans="1:15" x14ac:dyDescent="0.3">
      <c r="A11" s="14">
        <v>10</v>
      </c>
      <c r="B11" s="14">
        <f t="shared" si="6"/>
        <v>2</v>
      </c>
      <c r="C11" s="14">
        <f t="shared" si="7"/>
        <v>1</v>
      </c>
      <c r="D11" s="14">
        <f t="shared" si="8"/>
        <v>1</v>
      </c>
      <c r="E11" s="14" t="str">
        <f t="shared" si="0"/>
        <v/>
      </c>
      <c r="F11" s="14" t="str">
        <f t="shared" si="1"/>
        <v/>
      </c>
      <c r="G11" s="14" t="str">
        <f t="shared" si="2"/>
        <v/>
      </c>
      <c r="H11" s="14" t="s">
        <v>90</v>
      </c>
      <c r="K11" s="14" t="str">
        <f t="shared" si="3"/>
        <v/>
      </c>
      <c r="L11" s="14" t="str">
        <f t="shared" si="4"/>
        <v/>
      </c>
      <c r="M11" s="14" t="str">
        <f t="shared" si="5"/>
        <v/>
      </c>
    </row>
    <row r="12" spans="1:15" x14ac:dyDescent="0.3">
      <c r="A12" s="14">
        <v>11</v>
      </c>
      <c r="B12" s="14">
        <f t="shared" si="6"/>
        <v>2</v>
      </c>
      <c r="C12" s="14">
        <f t="shared" si="7"/>
        <v>1</v>
      </c>
      <c r="D12" s="14">
        <f t="shared" si="8"/>
        <v>1</v>
      </c>
      <c r="E12" s="14" t="str">
        <f t="shared" si="0"/>
        <v/>
      </c>
      <c r="F12" s="14" t="str">
        <f t="shared" si="1"/>
        <v/>
      </c>
      <c r="G12" s="14" t="str">
        <f t="shared" si="2"/>
        <v/>
      </c>
      <c r="H12" s="14" t="s">
        <v>90</v>
      </c>
      <c r="K12" s="14" t="str">
        <f t="shared" si="3"/>
        <v/>
      </c>
      <c r="L12" s="14" t="str">
        <f t="shared" si="4"/>
        <v/>
      </c>
      <c r="M12" s="14" t="str">
        <f t="shared" si="5"/>
        <v/>
      </c>
    </row>
    <row r="13" spans="1:15" x14ac:dyDescent="0.3">
      <c r="A13" s="14">
        <v>12</v>
      </c>
      <c r="B13" s="14">
        <f t="shared" si="6"/>
        <v>2</v>
      </c>
      <c r="C13" s="14">
        <f t="shared" si="7"/>
        <v>1</v>
      </c>
      <c r="D13" s="14">
        <f t="shared" si="8"/>
        <v>1</v>
      </c>
      <c r="E13" s="14" t="str">
        <f t="shared" si="0"/>
        <v/>
      </c>
      <c r="F13" s="14" t="str">
        <f t="shared" si="1"/>
        <v/>
      </c>
      <c r="G13" s="14" t="str">
        <f t="shared" si="2"/>
        <v/>
      </c>
      <c r="H13" s="14" t="s">
        <v>90</v>
      </c>
      <c r="K13" s="14" t="str">
        <f t="shared" si="3"/>
        <v/>
      </c>
      <c r="L13" s="14" t="str">
        <f t="shared" si="4"/>
        <v/>
      </c>
      <c r="M13" s="14" t="str">
        <f t="shared" si="5"/>
        <v/>
      </c>
    </row>
    <row r="14" spans="1:15" x14ac:dyDescent="0.3">
      <c r="A14" s="14">
        <v>13</v>
      </c>
      <c r="B14" s="14">
        <f t="shared" si="6"/>
        <v>2</v>
      </c>
      <c r="C14" s="14">
        <f t="shared" si="7"/>
        <v>1</v>
      </c>
      <c r="D14" s="14">
        <f t="shared" si="8"/>
        <v>1</v>
      </c>
      <c r="E14" s="14" t="str">
        <f t="shared" si="0"/>
        <v/>
      </c>
      <c r="F14" s="14" t="str">
        <f t="shared" si="1"/>
        <v/>
      </c>
      <c r="G14" s="14" t="str">
        <f t="shared" si="2"/>
        <v/>
      </c>
      <c r="H14" s="14" t="s">
        <v>90</v>
      </c>
      <c r="K14" s="14" t="str">
        <f t="shared" si="3"/>
        <v/>
      </c>
      <c r="L14" s="14" t="str">
        <f t="shared" si="4"/>
        <v/>
      </c>
      <c r="M14" s="14" t="str">
        <f t="shared" si="5"/>
        <v/>
      </c>
    </row>
    <row r="15" spans="1:15" x14ac:dyDescent="0.3">
      <c r="A15" s="14">
        <v>14</v>
      </c>
      <c r="B15" s="14">
        <f t="shared" si="6"/>
        <v>2</v>
      </c>
      <c r="C15" s="14">
        <f t="shared" si="7"/>
        <v>1</v>
      </c>
      <c r="D15" s="14">
        <f t="shared" si="8"/>
        <v>1</v>
      </c>
      <c r="E15" s="14" t="str">
        <f t="shared" si="0"/>
        <v/>
      </c>
      <c r="F15" s="14" t="str">
        <f t="shared" si="1"/>
        <v/>
      </c>
      <c r="G15" s="14" t="str">
        <f t="shared" si="2"/>
        <v/>
      </c>
      <c r="H15" s="14" t="s">
        <v>90</v>
      </c>
      <c r="K15" s="14" t="str">
        <f t="shared" si="3"/>
        <v/>
      </c>
      <c r="L15" s="14" t="str">
        <f t="shared" si="4"/>
        <v/>
      </c>
      <c r="M15" s="14" t="str">
        <f t="shared" si="5"/>
        <v/>
      </c>
    </row>
    <row r="16" spans="1:15" x14ac:dyDescent="0.3">
      <c r="A16" s="14">
        <v>15</v>
      </c>
      <c r="B16" s="14">
        <f t="shared" si="6"/>
        <v>2</v>
      </c>
      <c r="C16" s="14">
        <f t="shared" si="7"/>
        <v>1</v>
      </c>
      <c r="D16" s="14">
        <f t="shared" si="8"/>
        <v>1</v>
      </c>
      <c r="E16" s="14" t="str">
        <f t="shared" si="0"/>
        <v/>
      </c>
      <c r="F16" s="14" t="str">
        <f t="shared" si="1"/>
        <v/>
      </c>
      <c r="G16" s="14" t="str">
        <f t="shared" si="2"/>
        <v/>
      </c>
      <c r="H16" s="14" t="s">
        <v>90</v>
      </c>
      <c r="K16" s="14" t="str">
        <f t="shared" si="3"/>
        <v/>
      </c>
      <c r="L16" s="14" t="str">
        <f t="shared" si="4"/>
        <v/>
      </c>
      <c r="M16" s="14" t="str">
        <f t="shared" si="5"/>
        <v/>
      </c>
    </row>
    <row r="17" spans="1:13" x14ac:dyDescent="0.3">
      <c r="A17" s="14">
        <v>16</v>
      </c>
      <c r="B17" s="14">
        <f t="shared" si="6"/>
        <v>2</v>
      </c>
      <c r="C17" s="14">
        <f t="shared" si="7"/>
        <v>1</v>
      </c>
      <c r="D17" s="14">
        <f t="shared" si="8"/>
        <v>1</v>
      </c>
      <c r="E17" s="14" t="str">
        <f t="shared" si="0"/>
        <v/>
      </c>
      <c r="F17" s="14" t="str">
        <f t="shared" si="1"/>
        <v/>
      </c>
      <c r="G17" s="14" t="str">
        <f t="shared" si="2"/>
        <v/>
      </c>
      <c r="H17" s="14" t="s">
        <v>90</v>
      </c>
      <c r="K17" s="14" t="str">
        <f t="shared" si="3"/>
        <v/>
      </c>
      <c r="L17" s="14" t="str">
        <f t="shared" si="4"/>
        <v/>
      </c>
      <c r="M17" s="14" t="str">
        <f t="shared" si="5"/>
        <v/>
      </c>
    </row>
    <row r="18" spans="1:13" x14ac:dyDescent="0.3">
      <c r="A18" s="14">
        <v>17</v>
      </c>
      <c r="B18" s="14">
        <f t="shared" si="6"/>
        <v>2</v>
      </c>
      <c r="C18" s="14">
        <f t="shared" si="7"/>
        <v>1</v>
      </c>
      <c r="D18" s="14">
        <f t="shared" si="8"/>
        <v>1</v>
      </c>
      <c r="E18" s="14" t="str">
        <f t="shared" si="0"/>
        <v/>
      </c>
      <c r="F18" s="14" t="str">
        <f t="shared" si="1"/>
        <v/>
      </c>
      <c r="G18" s="14" t="str">
        <f t="shared" si="2"/>
        <v/>
      </c>
      <c r="H18" s="14" t="s">
        <v>90</v>
      </c>
      <c r="K18" s="14" t="str">
        <f t="shared" si="3"/>
        <v/>
      </c>
      <c r="L18" s="14" t="str">
        <f t="shared" si="4"/>
        <v/>
      </c>
      <c r="M18" s="14" t="str">
        <f t="shared" si="5"/>
        <v/>
      </c>
    </row>
    <row r="19" spans="1:13" x14ac:dyDescent="0.3">
      <c r="A19" s="14">
        <v>18</v>
      </c>
      <c r="B19" s="14">
        <f t="shared" si="6"/>
        <v>2</v>
      </c>
      <c r="C19" s="14">
        <f t="shared" si="7"/>
        <v>1</v>
      </c>
      <c r="D19" s="14">
        <f t="shared" si="8"/>
        <v>1</v>
      </c>
      <c r="E19" s="14" t="str">
        <f t="shared" si="0"/>
        <v/>
      </c>
      <c r="F19" s="14" t="str">
        <f t="shared" si="1"/>
        <v/>
      </c>
      <c r="G19" s="14" t="str">
        <f t="shared" si="2"/>
        <v/>
      </c>
      <c r="H19" s="14" t="s">
        <v>90</v>
      </c>
      <c r="K19" s="14" t="str">
        <f t="shared" si="3"/>
        <v/>
      </c>
      <c r="L19" s="14" t="str">
        <f t="shared" si="4"/>
        <v/>
      </c>
      <c r="M19" s="14" t="str">
        <f t="shared" si="5"/>
        <v/>
      </c>
    </row>
    <row r="20" spans="1:13" x14ac:dyDescent="0.3">
      <c r="A20" s="14">
        <v>19</v>
      </c>
      <c r="B20" s="14">
        <f t="shared" si="6"/>
        <v>2</v>
      </c>
      <c r="C20" s="14">
        <f t="shared" si="7"/>
        <v>1</v>
      </c>
      <c r="D20" s="14">
        <f t="shared" si="8"/>
        <v>1</v>
      </c>
      <c r="E20" s="14" t="str">
        <f t="shared" si="0"/>
        <v/>
      </c>
      <c r="F20" s="14" t="str">
        <f t="shared" si="1"/>
        <v/>
      </c>
      <c r="G20" s="14" t="str">
        <f t="shared" si="2"/>
        <v/>
      </c>
      <c r="H20" s="14" t="s">
        <v>90</v>
      </c>
      <c r="K20" s="14" t="str">
        <f t="shared" si="3"/>
        <v/>
      </c>
      <c r="L20" s="14" t="str">
        <f t="shared" si="4"/>
        <v/>
      </c>
      <c r="M20" s="14" t="str">
        <f t="shared" si="5"/>
        <v/>
      </c>
    </row>
    <row r="21" spans="1:13" x14ac:dyDescent="0.3">
      <c r="A21" s="14">
        <v>20</v>
      </c>
      <c r="B21" s="14">
        <f t="shared" si="6"/>
        <v>2</v>
      </c>
      <c r="C21" s="14">
        <f t="shared" si="7"/>
        <v>1</v>
      </c>
      <c r="D21" s="14">
        <f t="shared" si="8"/>
        <v>1</v>
      </c>
      <c r="E21" s="14" t="str">
        <f t="shared" si="0"/>
        <v/>
      </c>
      <c r="F21" s="14" t="str">
        <f t="shared" si="1"/>
        <v/>
      </c>
      <c r="G21" s="14" t="str">
        <f t="shared" si="2"/>
        <v/>
      </c>
      <c r="H21" s="14" t="s">
        <v>90</v>
      </c>
      <c r="K21" s="14" t="str">
        <f t="shared" si="3"/>
        <v/>
      </c>
      <c r="L21" s="14" t="str">
        <f t="shared" si="4"/>
        <v/>
      </c>
      <c r="M21" s="14" t="str">
        <f t="shared" si="5"/>
        <v/>
      </c>
    </row>
    <row r="23" spans="1:13" x14ac:dyDescent="0.3">
      <c r="E23" s="14">
        <f>SUM(E2:E21)</f>
        <v>2705</v>
      </c>
      <c r="F23" s="14">
        <f>SUM(F2:F21)</f>
        <v>2840</v>
      </c>
      <c r="G23" s="14">
        <f>SUM(G2:G21)</f>
        <v>2840</v>
      </c>
      <c r="K23" s="14">
        <f>SUM(K2:K21)</f>
        <v>575</v>
      </c>
      <c r="L23" s="14">
        <f>SUM(L2:L21)</f>
        <v>150</v>
      </c>
      <c r="M23" s="14">
        <f>SUM(M2:M21)</f>
        <v>150</v>
      </c>
    </row>
  </sheetData>
  <hyperlinks>
    <hyperlink ref="J2" r:id="rId1" xr:uid="{F0A49C29-3BC8-41C6-9D5D-DD3B0C389D9F}"/>
    <hyperlink ref="J3" r:id="rId2" xr:uid="{F6D38AAA-DCBF-4AE5-A82D-FE32945868A7}"/>
    <hyperlink ref="J4" r:id="rId3" xr:uid="{7A8E840F-E7D2-4817-90A3-B905516EA5C6}"/>
    <hyperlink ref="J5" r:id="rId4" xr:uid="{B907DDD0-39EA-4D17-8E30-E9006EE18C70}"/>
    <hyperlink ref="O3:O4" r:id="rId5" display="https://electroheatinduction.com/how-to-calculate-electricity-cost-for-melting-metal-in-induction-melting-furnace/" xr:uid="{45D4A170-9A64-4131-9D7E-5CEFA6DF42D1}"/>
    <hyperlink ref="O5" r:id="rId6" location=":~:text=A%20kilogram%20of%20a%20semi-crystalline%20resin%2C%20such%20as,vs.%20342%29%2C%20yet%20their%20processing%20temperatures%20are%20similar." xr:uid="{0252932D-1002-4FC2-A470-5B1626F173A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5641-9DB8-4697-A9E1-F778D5F10B0F}">
  <dimension ref="A1"/>
  <sheetViews>
    <sheetView workbookViewId="0">
      <selection activeCell="E8" sqref="E8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A1EF-E236-4B60-BE37-81F8046F057B}">
  <sheetPr codeName="Sheet25"/>
  <dimension ref="A2:I71"/>
  <sheetViews>
    <sheetView showGridLines="0" tabSelected="1" topLeftCell="A4" workbookViewId="0">
      <selection activeCell="A6" sqref="A6"/>
    </sheetView>
  </sheetViews>
  <sheetFormatPr defaultColWidth="9.109375" defaultRowHeight="14.4" x14ac:dyDescent="0.3"/>
  <cols>
    <col min="1" max="1" width="40.5546875" style="2" bestFit="1" customWidth="1"/>
    <col min="2" max="2" width="6.6640625" style="2" hidden="1" customWidth="1"/>
    <col min="3" max="3" width="9.109375" style="5" bestFit="1" customWidth="1"/>
    <col min="4" max="6" width="18.5546875" style="4" customWidth="1"/>
    <col min="7" max="7" width="6.44140625" style="3" customWidth="1"/>
    <col min="8" max="8" width="62.33203125" style="2" customWidth="1"/>
    <col min="9" max="9" width="49.6640625" style="2" customWidth="1"/>
    <col min="10" max="10" width="9.109375" style="1"/>
    <col min="11" max="11" width="6.6640625" style="1" bestFit="1" customWidth="1"/>
    <col min="12" max="12" width="17.33203125" style="1" bestFit="1" customWidth="1"/>
    <col min="13" max="16384" width="9.109375" style="1"/>
  </cols>
  <sheetData>
    <row r="2" spans="1:9" ht="21" x14ac:dyDescent="0.3">
      <c r="A2" s="70" t="s">
        <v>89</v>
      </c>
      <c r="B2" s="10"/>
      <c r="H2" s="7"/>
    </row>
    <row r="3" spans="1:9" ht="18" x14ac:dyDescent="0.3">
      <c r="A3" s="10"/>
      <c r="B3" s="10"/>
      <c r="H3" s="7"/>
    </row>
    <row r="4" spans="1:9" x14ac:dyDescent="0.3">
      <c r="A4" s="44"/>
      <c r="B4" s="25"/>
      <c r="C4" s="52" t="s">
        <v>88</v>
      </c>
      <c r="D4" s="80" t="s">
        <v>199</v>
      </c>
      <c r="E4" s="80" t="s">
        <v>200</v>
      </c>
      <c r="F4" s="80" t="s">
        <v>201</v>
      </c>
      <c r="G4" s="81" t="s">
        <v>84</v>
      </c>
      <c r="H4" s="45" t="s">
        <v>111</v>
      </c>
      <c r="I4" s="45" t="s">
        <v>104</v>
      </c>
    </row>
    <row r="5" spans="1:9" ht="28.8" x14ac:dyDescent="0.3">
      <c r="A5" s="75" t="s">
        <v>82</v>
      </c>
      <c r="B5" s="75" t="s">
        <v>81</v>
      </c>
      <c r="C5" s="76" t="s">
        <v>0</v>
      </c>
      <c r="D5" s="77">
        <v>100</v>
      </c>
      <c r="E5" s="77">
        <v>100</v>
      </c>
      <c r="F5" s="77">
        <v>100</v>
      </c>
      <c r="G5" s="78">
        <v>73</v>
      </c>
      <c r="H5" s="79" t="s">
        <v>106</v>
      </c>
      <c r="I5" s="79" t="s">
        <v>105</v>
      </c>
    </row>
    <row r="6" spans="1:9" ht="28.8" x14ac:dyDescent="0.3">
      <c r="A6" s="44" t="s">
        <v>80</v>
      </c>
      <c r="B6" s="44" t="s">
        <v>79</v>
      </c>
      <c r="C6" s="46" t="s">
        <v>0</v>
      </c>
      <c r="D6" s="27">
        <v>10</v>
      </c>
      <c r="E6" s="27">
        <v>10</v>
      </c>
      <c r="F6" s="27">
        <v>10</v>
      </c>
      <c r="G6" s="24"/>
      <c r="H6" s="25" t="s">
        <v>78</v>
      </c>
      <c r="I6" s="25"/>
    </row>
    <row r="7" spans="1:9" x14ac:dyDescent="0.3">
      <c r="A7" s="44" t="s">
        <v>77</v>
      </c>
      <c r="B7" s="44" t="s">
        <v>76</v>
      </c>
      <c r="C7" s="46" t="s">
        <v>0</v>
      </c>
      <c r="D7" s="27">
        <f>SUM(D5-(2*D6))</f>
        <v>80</v>
      </c>
      <c r="E7" s="27">
        <f>SUM(E5-(2*E6))</f>
        <v>80</v>
      </c>
      <c r="F7" s="27">
        <f>SUM(F5-(2*F6))</f>
        <v>80</v>
      </c>
      <c r="G7" s="47"/>
      <c r="H7" s="25"/>
      <c r="I7" s="25"/>
    </row>
    <row r="8" spans="1:9" x14ac:dyDescent="0.3">
      <c r="A8" s="44" t="s">
        <v>75</v>
      </c>
      <c r="B8" s="44" t="s">
        <v>74</v>
      </c>
      <c r="C8" s="46" t="s">
        <v>0</v>
      </c>
      <c r="D8" s="48">
        <v>0.02</v>
      </c>
      <c r="E8" s="48">
        <v>0.05</v>
      </c>
      <c r="F8" s="48">
        <v>0.1</v>
      </c>
      <c r="G8" s="47"/>
      <c r="H8" s="25"/>
      <c r="I8" s="25"/>
    </row>
    <row r="9" spans="1:9" x14ac:dyDescent="0.3">
      <c r="A9" s="44" t="s">
        <v>122</v>
      </c>
      <c r="B9" s="44"/>
      <c r="C9" s="46" t="s">
        <v>3</v>
      </c>
      <c r="D9" s="36">
        <f t="shared" ref="D9:F9" si="0">SUM(3.1416/4*((D5*D5)-((D5-(2*D8))*(D5-(2*D8)))))</f>
        <v>6.2819433600003149</v>
      </c>
      <c r="E9" s="36">
        <f t="shared" si="0"/>
        <v>15.7001459999984</v>
      </c>
      <c r="F9" s="36">
        <f t="shared" si="0"/>
        <v>31.384584000000743</v>
      </c>
      <c r="G9" s="47"/>
      <c r="H9" s="25" t="s">
        <v>127</v>
      </c>
      <c r="I9" s="25"/>
    </row>
    <row r="10" spans="1:9" ht="28.8" x14ac:dyDescent="0.3">
      <c r="A10" s="44" t="s">
        <v>123</v>
      </c>
      <c r="B10" s="44"/>
      <c r="C10" s="46" t="s">
        <v>3</v>
      </c>
      <c r="D10" s="92">
        <f>(D5-(D8*2))*D8</f>
        <v>1.9991999999999999</v>
      </c>
      <c r="E10" s="92">
        <f t="shared" ref="E10:F10" si="1">(E5-(E8*2))*E8</f>
        <v>4.995000000000001</v>
      </c>
      <c r="F10" s="92">
        <f t="shared" si="1"/>
        <v>9.98</v>
      </c>
      <c r="G10" s="47"/>
      <c r="H10" s="25" t="s">
        <v>128</v>
      </c>
      <c r="I10" s="25"/>
    </row>
    <row r="11" spans="1:9" ht="28.8" x14ac:dyDescent="0.3">
      <c r="A11" s="44" t="s">
        <v>134</v>
      </c>
      <c r="B11" s="44"/>
      <c r="C11" s="46" t="s">
        <v>9</v>
      </c>
      <c r="D11" s="93">
        <v>2</v>
      </c>
      <c r="E11" s="93">
        <v>2</v>
      </c>
      <c r="F11" s="93">
        <v>2</v>
      </c>
      <c r="G11" s="47"/>
      <c r="H11" s="25" t="s">
        <v>135</v>
      </c>
      <c r="I11" s="25"/>
    </row>
    <row r="12" spans="1:9" ht="28.8" x14ac:dyDescent="0.3">
      <c r="A12" s="44" t="s">
        <v>136</v>
      </c>
      <c r="B12" s="44"/>
      <c r="C12" s="46" t="s">
        <v>3</v>
      </c>
      <c r="D12" s="83">
        <f>D9+D10+(D10*D11)</f>
        <v>12.279543360000314</v>
      </c>
      <c r="E12" s="83">
        <f t="shared" ref="E12:F12" si="2">E9+E10+(E10*E11)</f>
        <v>30.685145999998404</v>
      </c>
      <c r="F12" s="83">
        <f t="shared" si="2"/>
        <v>61.324584000000748</v>
      </c>
      <c r="G12" s="47"/>
      <c r="H12" s="25" t="s">
        <v>143</v>
      </c>
      <c r="I12" s="25"/>
    </row>
    <row r="13" spans="1:9" x14ac:dyDescent="0.3">
      <c r="A13" s="44" t="s">
        <v>73</v>
      </c>
      <c r="B13" s="44" t="s">
        <v>72</v>
      </c>
      <c r="C13" s="46" t="s">
        <v>58</v>
      </c>
      <c r="D13" s="28">
        <f>SUM(3.1416*3.1416)*(D5/2+D7/2)*(D5/2-D7/2)*(D5/2-D7/2)/4</f>
        <v>22206.713759999999</v>
      </c>
      <c r="E13" s="28">
        <f>SUM(3.1416*3.1416)*(E5/2+E7/2)*(E5/2-E7/2)*(E5/2-E7/2)/4</f>
        <v>22206.713759999999</v>
      </c>
      <c r="F13" s="28">
        <f>SUM(3.1416*3.1416)*(F5/2+F7/2)*(F5/2-F7/2)*(F5/2-F7/2)/4</f>
        <v>22206.713759999999</v>
      </c>
      <c r="G13" s="24"/>
      <c r="H13" s="25"/>
      <c r="I13" s="25"/>
    </row>
    <row r="14" spans="1:9" x14ac:dyDescent="0.3">
      <c r="A14" s="44" t="s">
        <v>71</v>
      </c>
      <c r="B14" s="44"/>
      <c r="C14" s="46" t="s">
        <v>0</v>
      </c>
      <c r="D14" s="49">
        <f>D5-(D8*2)</f>
        <v>99.96</v>
      </c>
      <c r="E14" s="49">
        <f>E5-(E8*2)</f>
        <v>99.9</v>
      </c>
      <c r="F14" s="49">
        <f>F5-(F8*2)</f>
        <v>99.8</v>
      </c>
      <c r="G14" s="24"/>
      <c r="H14" s="25"/>
      <c r="I14" s="25"/>
    </row>
    <row r="15" spans="1:9" x14ac:dyDescent="0.3">
      <c r="A15" s="44" t="s">
        <v>70</v>
      </c>
      <c r="B15" s="44"/>
      <c r="C15" s="46" t="s">
        <v>0</v>
      </c>
      <c r="D15" s="49">
        <f>D7+(D8*2)</f>
        <v>80.040000000000006</v>
      </c>
      <c r="E15" s="49">
        <f>E7+(E8*2)</f>
        <v>80.099999999999994</v>
      </c>
      <c r="F15" s="49">
        <f>F7+(F8*2)</f>
        <v>80.2</v>
      </c>
      <c r="G15" s="24"/>
      <c r="H15" s="25"/>
      <c r="I15" s="25"/>
    </row>
    <row r="16" spans="1:9" x14ac:dyDescent="0.3">
      <c r="A16" s="44" t="s">
        <v>69</v>
      </c>
      <c r="B16" s="44"/>
      <c r="C16" s="46" t="s">
        <v>58</v>
      </c>
      <c r="D16" s="28">
        <f>SUM(3.1416*3.1416)*(D14/2+D15/2)*(D14/2-D15/2)*(D14/2-D15/2)/4</f>
        <v>22029.415357340135</v>
      </c>
      <c r="E16" s="28">
        <f t="shared" ref="E16:F16" si="3">SUM(3.1416*3.1416)*(E14/2+E15/2)*(E14/2-E15/2)*(E14/2-E15/2)/4</f>
        <v>21764.800156176025</v>
      </c>
      <c r="F16" s="28">
        <f t="shared" si="3"/>
        <v>21327.327895103987</v>
      </c>
      <c r="G16" s="50"/>
      <c r="H16" s="25" t="s">
        <v>68</v>
      </c>
      <c r="I16" s="25"/>
    </row>
    <row r="17" spans="1:9" x14ac:dyDescent="0.3">
      <c r="A17" s="44" t="s">
        <v>67</v>
      </c>
      <c r="B17" s="45"/>
      <c r="C17" s="46" t="s">
        <v>58</v>
      </c>
      <c r="D17" s="28">
        <f>SUM(D13-D16)</f>
        <v>177.29840265986422</v>
      </c>
      <c r="E17" s="28">
        <f t="shared" ref="E17:F17" si="4">SUM(E13-E16)</f>
        <v>441.91360382397397</v>
      </c>
      <c r="F17" s="28">
        <f t="shared" si="4"/>
        <v>879.38586489601221</v>
      </c>
      <c r="G17" s="24"/>
      <c r="H17" s="25"/>
      <c r="I17" s="25"/>
    </row>
    <row r="18" spans="1:9" ht="28.8" x14ac:dyDescent="0.3">
      <c r="A18" s="44" t="s">
        <v>66</v>
      </c>
      <c r="B18" s="44"/>
      <c r="C18" s="46" t="s">
        <v>58</v>
      </c>
      <c r="D18" s="28">
        <f>(3.1416*D8*D14*(D6-2*D8))</f>
        <v>62.555639731199996</v>
      </c>
      <c r="E18" s="28">
        <f>(3.1416*E8*E14*(E6-2*E8))</f>
        <v>155.35369080000001</v>
      </c>
      <c r="F18" s="28">
        <f>(3.1416*F8*F14*(F6-2*F8))</f>
        <v>307.2610464</v>
      </c>
      <c r="G18" s="24"/>
      <c r="H18" s="25" t="s">
        <v>65</v>
      </c>
      <c r="I18" s="25"/>
    </row>
    <row r="19" spans="1:9" x14ac:dyDescent="0.3">
      <c r="A19" s="44" t="s">
        <v>63</v>
      </c>
      <c r="B19" s="45"/>
      <c r="C19" s="46" t="s">
        <v>58</v>
      </c>
      <c r="D19" s="28">
        <f>SUM(D11*D18)+D18</f>
        <v>187.66691919359999</v>
      </c>
      <c r="E19" s="28">
        <f t="shared" ref="E19:F19" si="5">SUM(E11*E18)+E18</f>
        <v>466.06107240000006</v>
      </c>
      <c r="F19" s="28">
        <f t="shared" si="5"/>
        <v>921.78313920000005</v>
      </c>
      <c r="G19" s="24"/>
      <c r="H19" s="25"/>
      <c r="I19" s="25"/>
    </row>
    <row r="20" spans="1:9" x14ac:dyDescent="0.3">
      <c r="A20" s="45" t="s">
        <v>62</v>
      </c>
      <c r="B20" s="45"/>
      <c r="C20" s="52" t="s">
        <v>58</v>
      </c>
      <c r="D20" s="26">
        <f>D16-D19</f>
        <v>21841.748438146533</v>
      </c>
      <c r="E20" s="26">
        <f t="shared" ref="E20:F20" si="6">E16-E19</f>
        <v>21298.739083776025</v>
      </c>
      <c r="F20" s="26">
        <f t="shared" si="6"/>
        <v>20405.544755903986</v>
      </c>
      <c r="G20" s="69">
        <v>932</v>
      </c>
      <c r="H20" s="25"/>
      <c r="I20" s="25" t="s">
        <v>49</v>
      </c>
    </row>
    <row r="21" spans="1:9" x14ac:dyDescent="0.3">
      <c r="A21" s="45" t="s">
        <v>61</v>
      </c>
      <c r="B21" s="45"/>
      <c r="C21" s="52" t="s">
        <v>58</v>
      </c>
      <c r="D21" s="26">
        <f>D17+D19</f>
        <v>364.96532185346422</v>
      </c>
      <c r="E21" s="26">
        <f t="shared" ref="E21:F21" si="7">E17+E19</f>
        <v>907.97467622397403</v>
      </c>
      <c r="F21" s="26">
        <f t="shared" si="7"/>
        <v>1801.1690040960123</v>
      </c>
      <c r="G21" s="24"/>
      <c r="H21" s="25"/>
      <c r="I21" s="25"/>
    </row>
    <row r="22" spans="1:9" x14ac:dyDescent="0.3">
      <c r="A22" s="44" t="s">
        <v>60</v>
      </c>
      <c r="B22" s="44"/>
      <c r="C22" s="46"/>
      <c r="D22" s="88">
        <v>50</v>
      </c>
      <c r="E22" s="88">
        <v>50</v>
      </c>
      <c r="F22" s="88">
        <v>50</v>
      </c>
      <c r="G22" s="69">
        <v>6</v>
      </c>
      <c r="H22" s="25" t="s">
        <v>169</v>
      </c>
      <c r="I22" s="25"/>
    </row>
    <row r="23" spans="1:9" x14ac:dyDescent="0.3">
      <c r="A23" s="45" t="s">
        <v>59</v>
      </c>
      <c r="B23" s="45"/>
      <c r="C23" s="52" t="s">
        <v>58</v>
      </c>
      <c r="D23" s="26">
        <f>D20/D22</f>
        <v>436.83496876293066</v>
      </c>
      <c r="E23" s="26">
        <f t="shared" ref="E23:F23" si="8">E20/E22</f>
        <v>425.97478167552049</v>
      </c>
      <c r="F23" s="26">
        <f t="shared" si="8"/>
        <v>408.11089511807972</v>
      </c>
      <c r="G23" s="69">
        <f>SUM(G20/G22)</f>
        <v>155.33333333333334</v>
      </c>
      <c r="H23" s="25"/>
      <c r="I23" s="25"/>
    </row>
    <row r="24" spans="1:9" x14ac:dyDescent="0.3">
      <c r="A24" s="45" t="s">
        <v>137</v>
      </c>
      <c r="B24" s="45"/>
      <c r="C24" s="52" t="s">
        <v>3</v>
      </c>
      <c r="D24" s="26">
        <f>D23/2.5</f>
        <v>174.73398750517225</v>
      </c>
      <c r="E24" s="26">
        <f t="shared" ref="E24:F24" si="9">E23/2.5</f>
        <v>170.38991267020819</v>
      </c>
      <c r="F24" s="26">
        <f t="shared" si="9"/>
        <v>163.24435804723188</v>
      </c>
      <c r="G24" s="24"/>
      <c r="H24" s="25" t="s">
        <v>138</v>
      </c>
      <c r="I24" s="25"/>
    </row>
    <row r="26" spans="1:9" ht="21" x14ac:dyDescent="0.3">
      <c r="A26" s="70" t="s">
        <v>45</v>
      </c>
      <c r="B26" s="10"/>
    </row>
    <row r="28" spans="1:9" ht="43.2" x14ac:dyDescent="0.3">
      <c r="A28" s="44" t="s">
        <v>44</v>
      </c>
      <c r="B28" s="44"/>
      <c r="C28" s="46" t="s">
        <v>43</v>
      </c>
      <c r="D28" s="36">
        <v>0.5</v>
      </c>
      <c r="E28" s="36">
        <v>0.5</v>
      </c>
      <c r="F28" s="36">
        <v>1</v>
      </c>
      <c r="G28" s="24"/>
      <c r="H28" s="25" t="s">
        <v>144</v>
      </c>
      <c r="I28" s="25"/>
    </row>
    <row r="29" spans="1:9" x14ac:dyDescent="0.3">
      <c r="A29" s="44" t="s">
        <v>41</v>
      </c>
      <c r="B29" s="44"/>
      <c r="C29" s="46" t="s">
        <v>38</v>
      </c>
      <c r="D29" s="27">
        <v>4</v>
      </c>
      <c r="E29" s="27">
        <v>4</v>
      </c>
      <c r="F29" s="27">
        <v>4</v>
      </c>
      <c r="G29" s="24"/>
      <c r="H29" s="25"/>
      <c r="I29" s="25"/>
    </row>
    <row r="30" spans="1:9" x14ac:dyDescent="0.3">
      <c r="A30" s="44" t="s">
        <v>39</v>
      </c>
      <c r="B30" s="44"/>
      <c r="C30" s="46" t="s">
        <v>38</v>
      </c>
      <c r="D30" s="27">
        <v>2</v>
      </c>
      <c r="E30" s="27">
        <v>2</v>
      </c>
      <c r="F30" s="27">
        <v>2</v>
      </c>
      <c r="G30" s="24"/>
      <c r="H30" s="25"/>
      <c r="I30" s="25"/>
    </row>
    <row r="31" spans="1:9" x14ac:dyDescent="0.3">
      <c r="A31" s="44" t="s">
        <v>37</v>
      </c>
      <c r="B31" s="44"/>
      <c r="C31" s="46" t="s">
        <v>36</v>
      </c>
      <c r="D31" s="28">
        <f>SUM(D29*D28*D30)</f>
        <v>4</v>
      </c>
      <c r="E31" s="28">
        <f t="shared" ref="E31:F31" si="10">SUM(E29*E28*E30)</f>
        <v>4</v>
      </c>
      <c r="F31" s="28">
        <f t="shared" si="10"/>
        <v>8</v>
      </c>
      <c r="G31" s="24"/>
      <c r="H31" s="25" t="s">
        <v>119</v>
      </c>
      <c r="I31" s="25"/>
    </row>
    <row r="32" spans="1:9" x14ac:dyDescent="0.3">
      <c r="A32" s="44" t="s">
        <v>35</v>
      </c>
      <c r="B32" s="44"/>
      <c r="C32" s="46" t="s">
        <v>34</v>
      </c>
      <c r="D32" s="29">
        <f>D28*60/(3.1416*D5)</f>
        <v>9.549274255156609E-2</v>
      </c>
      <c r="E32" s="29">
        <f>E28*60/(3.1416*E5)</f>
        <v>9.549274255156609E-2</v>
      </c>
      <c r="F32" s="29">
        <f>F28*60/(3.1416*F5)</f>
        <v>0.19098548510313218</v>
      </c>
      <c r="G32" s="30"/>
      <c r="H32" s="25" t="s">
        <v>33</v>
      </c>
      <c r="I32" s="25"/>
    </row>
    <row r="33" spans="1:9" x14ac:dyDescent="0.3">
      <c r="A33" s="44" t="s">
        <v>32</v>
      </c>
      <c r="B33" s="44"/>
      <c r="C33" s="46"/>
      <c r="D33" s="31">
        <f>D32*D32*1.118*0.001*(D5/2)</f>
        <v>5.0974449089310027E-4</v>
      </c>
      <c r="E33" s="31">
        <f>E32*E32*1.118*0.001*(E5/2)</f>
        <v>5.0974449089310027E-4</v>
      </c>
      <c r="F33" s="31">
        <f>F32*F32*1.118*0.001*(F5/2)</f>
        <v>2.0389779635724011E-3</v>
      </c>
      <c r="G33" s="30"/>
      <c r="H33" s="25" t="s">
        <v>139</v>
      </c>
      <c r="I33" s="25"/>
    </row>
    <row r="34" spans="1:9" ht="28.8" x14ac:dyDescent="0.3">
      <c r="A34" s="44" t="s">
        <v>130</v>
      </c>
      <c r="B34" s="44"/>
      <c r="C34" s="46"/>
      <c r="D34" s="32">
        <v>4</v>
      </c>
      <c r="E34" s="32">
        <v>16</v>
      </c>
      <c r="F34" s="32">
        <v>8</v>
      </c>
      <c r="G34" s="24"/>
      <c r="H34" s="25" t="s">
        <v>30</v>
      </c>
      <c r="I34" s="25"/>
    </row>
    <row r="35" spans="1:9" x14ac:dyDescent="0.3">
      <c r="A35" s="44" t="s">
        <v>29</v>
      </c>
      <c r="B35" s="44"/>
      <c r="C35" s="46" t="s">
        <v>27</v>
      </c>
      <c r="D35" s="82">
        <f>D36/D34</f>
        <v>1.082E-2</v>
      </c>
      <c r="E35" s="82">
        <f t="shared" ref="E35:F35" si="11">E36/E34</f>
        <v>1.082E-2</v>
      </c>
      <c r="F35" s="82">
        <f t="shared" si="11"/>
        <v>8.8000000000000005E-3</v>
      </c>
      <c r="G35" s="24"/>
      <c r="H35" s="25"/>
      <c r="I35" s="25"/>
    </row>
    <row r="36" spans="1:9" x14ac:dyDescent="0.3">
      <c r="A36" s="44" t="s">
        <v>28</v>
      </c>
      <c r="B36" s="44"/>
      <c r="C36" s="46" t="s">
        <v>27</v>
      </c>
      <c r="D36" s="82">
        <f>SUM(D31*D45*D34)/1000000</f>
        <v>4.3279999999999999E-2</v>
      </c>
      <c r="E36" s="82">
        <f>SUM(E31*E45*E34)/1000000</f>
        <v>0.17312</v>
      </c>
      <c r="F36" s="82">
        <f>SUM(F31*F45*F34)/1000000</f>
        <v>7.0400000000000004E-2</v>
      </c>
      <c r="G36" s="30"/>
      <c r="H36" s="25" t="s">
        <v>140</v>
      </c>
      <c r="I36" s="25"/>
    </row>
    <row r="37" spans="1:9" x14ac:dyDescent="0.3">
      <c r="A37" s="44" t="s">
        <v>26</v>
      </c>
      <c r="B37" s="44"/>
      <c r="C37" s="46" t="s">
        <v>9</v>
      </c>
      <c r="D37" s="23">
        <v>0.9</v>
      </c>
      <c r="E37" s="23">
        <v>0.9</v>
      </c>
      <c r="F37" s="23">
        <v>0.9</v>
      </c>
      <c r="G37" s="30"/>
      <c r="H37" s="25" t="s">
        <v>25</v>
      </c>
      <c r="I37" s="25"/>
    </row>
    <row r="38" spans="1:9" ht="28.8" x14ac:dyDescent="0.3">
      <c r="A38" s="45" t="s">
        <v>120</v>
      </c>
      <c r="B38" s="45"/>
      <c r="C38" s="90" t="s">
        <v>121</v>
      </c>
      <c r="D38" s="107">
        <f>D12/(D29*D30*D34/1000000)/1000000</f>
        <v>0.38373573000000982</v>
      </c>
      <c r="E38" s="107">
        <f t="shared" ref="E38:F38" si="12">E12/(E29*E30*E34/1000000)/1000000</f>
        <v>0.23972770312498753</v>
      </c>
      <c r="F38" s="107">
        <f t="shared" si="12"/>
        <v>0.95819662500001179</v>
      </c>
      <c r="G38" s="30"/>
      <c r="H38" s="25" t="s">
        <v>141</v>
      </c>
      <c r="I38" s="25"/>
    </row>
    <row r="39" spans="1:9" x14ac:dyDescent="0.3">
      <c r="A39" s="44" t="s">
        <v>23</v>
      </c>
      <c r="B39" s="44"/>
      <c r="C39" s="46" t="s">
        <v>24</v>
      </c>
      <c r="D39" s="28">
        <f>((D38*1000000)/D32)/60/24/D37</f>
        <v>3100.6794479630416</v>
      </c>
      <c r="E39" s="28">
        <f t="shared" ref="E39:F39" si="13">((E38*1000)/E32)/60/24/E37*1000</f>
        <v>1937.0590332753618</v>
      </c>
      <c r="F39" s="28">
        <f t="shared" si="13"/>
        <v>3871.2326608796761</v>
      </c>
      <c r="G39" s="30"/>
      <c r="H39" s="1" t="s">
        <v>142</v>
      </c>
      <c r="I39" s="25"/>
    </row>
    <row r="40" spans="1:9" x14ac:dyDescent="0.3">
      <c r="A40" s="45" t="s">
        <v>23</v>
      </c>
      <c r="B40" s="45"/>
      <c r="C40" s="52" t="s">
        <v>22</v>
      </c>
      <c r="D40" s="37">
        <f>SUM(D39)/365</f>
        <v>8.495012186200114</v>
      </c>
      <c r="E40" s="37">
        <f t="shared" ref="E40:F40" si="14">SUM(E39)/365</f>
        <v>5.3070110500694847</v>
      </c>
      <c r="F40" s="37">
        <f t="shared" si="14"/>
        <v>10.6061168791224</v>
      </c>
      <c r="G40" s="30"/>
      <c r="H40" s="25"/>
      <c r="I40" s="25"/>
    </row>
    <row r="41" spans="1:9" x14ac:dyDescent="0.3">
      <c r="A41" s="86"/>
      <c r="B41" s="86"/>
      <c r="C41" s="86"/>
      <c r="D41" s="86"/>
      <c r="E41" s="86"/>
      <c r="F41" s="86"/>
      <c r="G41" s="86"/>
    </row>
    <row r="42" spans="1:9" ht="21" x14ac:dyDescent="0.3">
      <c r="A42" s="70" t="s">
        <v>124</v>
      </c>
      <c r="B42" s="10"/>
    </row>
    <row r="44" spans="1:9" x14ac:dyDescent="0.3">
      <c r="A44" s="44" t="s">
        <v>56</v>
      </c>
      <c r="B44" s="44"/>
      <c r="C44" s="46"/>
      <c r="D44" s="27"/>
      <c r="E44" s="27"/>
      <c r="F44" s="27"/>
      <c r="G44" s="24"/>
      <c r="H44" s="25"/>
      <c r="I44" s="25"/>
    </row>
    <row r="45" spans="1:9" x14ac:dyDescent="0.3">
      <c r="A45" s="44" t="s">
        <v>55</v>
      </c>
      <c r="B45" s="44"/>
      <c r="C45" s="46" t="s">
        <v>54</v>
      </c>
      <c r="D45" s="71">
        <f>'Materials Table 100m'!E23</f>
        <v>2705</v>
      </c>
      <c r="E45" s="71">
        <f>'Materials Table 100m'!F23</f>
        <v>2705</v>
      </c>
      <c r="F45" s="71">
        <f>'Materials Table 100m'!G23</f>
        <v>1100</v>
      </c>
      <c r="G45" s="24"/>
      <c r="H45" s="25" t="s">
        <v>53</v>
      </c>
      <c r="I45" s="25"/>
    </row>
    <row r="46" spans="1:9" x14ac:dyDescent="0.3">
      <c r="A46" s="44" t="s">
        <v>52</v>
      </c>
      <c r="B46" s="44"/>
      <c r="C46" s="46" t="s">
        <v>9</v>
      </c>
      <c r="D46" s="23">
        <v>0.5</v>
      </c>
      <c r="E46" s="23">
        <v>0.5</v>
      </c>
      <c r="F46" s="23">
        <v>0.5</v>
      </c>
      <c r="G46" s="24"/>
      <c r="H46" s="25"/>
      <c r="I46" s="25"/>
    </row>
    <row r="47" spans="1:9" x14ac:dyDescent="0.3">
      <c r="A47" s="45" t="s">
        <v>51</v>
      </c>
      <c r="B47" s="45"/>
      <c r="C47" s="52" t="s">
        <v>172</v>
      </c>
      <c r="D47" s="26">
        <f>SUM(D21)*D45/1000*D46</f>
        <v>493.61559780681034</v>
      </c>
      <c r="E47" s="26">
        <f>SUM(E21)*E45/1000*E46</f>
        <v>1228.035749592925</v>
      </c>
      <c r="F47" s="26">
        <f>SUM(F21)*F45/1000*F46</f>
        <v>990.64295225280671</v>
      </c>
      <c r="G47" s="69">
        <v>420</v>
      </c>
      <c r="H47" s="25"/>
      <c r="I47" s="25" t="s">
        <v>49</v>
      </c>
    </row>
    <row r="48" spans="1:9" ht="28.8" x14ac:dyDescent="0.3">
      <c r="A48" s="45" t="s">
        <v>115</v>
      </c>
      <c r="B48" s="45"/>
      <c r="C48" s="52" t="s">
        <v>173</v>
      </c>
      <c r="D48" s="66">
        <f>D47/D39</f>
        <v>0.15919594595019676</v>
      </c>
      <c r="E48" s="66">
        <f>E47/E39</f>
        <v>0.63396919169595289</v>
      </c>
      <c r="F48" s="66">
        <f>F47/F39</f>
        <v>0.25589858296651663</v>
      </c>
      <c r="G48" s="24"/>
      <c r="H48" s="25"/>
      <c r="I48" s="25"/>
    </row>
    <row r="49" spans="1:9" ht="28.8" x14ac:dyDescent="0.3">
      <c r="A49" s="45" t="s">
        <v>48</v>
      </c>
      <c r="B49" s="45"/>
      <c r="C49" s="52"/>
      <c r="D49" s="33">
        <f>SUM(D47/64)</f>
        <v>7.7127437157314116</v>
      </c>
      <c r="E49" s="33">
        <f t="shared" ref="E49:F49" si="15">SUM(E47/64)</f>
        <v>19.188058587389452</v>
      </c>
      <c r="F49" s="33">
        <f t="shared" si="15"/>
        <v>15.478796128950105</v>
      </c>
      <c r="G49" s="24"/>
      <c r="H49" s="25" t="s">
        <v>47</v>
      </c>
      <c r="I49" s="65" t="s">
        <v>113</v>
      </c>
    </row>
    <row r="50" spans="1:9" ht="28.8" x14ac:dyDescent="0.3">
      <c r="A50" s="44" t="s">
        <v>132</v>
      </c>
      <c r="B50" s="44"/>
      <c r="C50" s="46" t="s">
        <v>133</v>
      </c>
      <c r="D50" s="87">
        <v>150</v>
      </c>
      <c r="E50" s="87">
        <v>150</v>
      </c>
      <c r="F50" s="87">
        <v>150</v>
      </c>
      <c r="G50" s="24"/>
      <c r="H50" s="25" t="s">
        <v>131</v>
      </c>
      <c r="I50" s="65" t="s">
        <v>113</v>
      </c>
    </row>
    <row r="51" spans="1:9" x14ac:dyDescent="0.3">
      <c r="A51" s="45" t="s">
        <v>46</v>
      </c>
      <c r="B51" s="45"/>
      <c r="C51" s="52" t="s">
        <v>24</v>
      </c>
      <c r="D51" s="37">
        <f>SUM(365/(D49/D40))</f>
        <v>402.02028775294258</v>
      </c>
      <c r="E51" s="37">
        <f>SUM(365/(E49/E40))</f>
        <v>100.95127781965461</v>
      </c>
      <c r="F51" s="37">
        <f>SUM(365/(F49/F40))</f>
        <v>250.09907932305418</v>
      </c>
      <c r="G51" s="24"/>
      <c r="H51" s="25"/>
      <c r="I51" s="25"/>
    </row>
    <row r="52" spans="1:9" x14ac:dyDescent="0.3">
      <c r="A52" s="45" t="s">
        <v>114</v>
      </c>
      <c r="B52" s="45"/>
      <c r="C52" s="52" t="s">
        <v>118</v>
      </c>
      <c r="D52" s="66">
        <f>SUM(D49*D50/1000)</f>
        <v>1.1569115573597117</v>
      </c>
      <c r="E52" s="66">
        <f t="shared" ref="E52:F52" si="16">SUM(E49*E50/1000)</f>
        <v>2.878208788108418</v>
      </c>
      <c r="F52" s="66">
        <f t="shared" si="16"/>
        <v>2.3218194193425155</v>
      </c>
      <c r="G52" s="24"/>
      <c r="H52" s="25"/>
      <c r="I52" s="25"/>
    </row>
    <row r="54" spans="1:9" ht="21" x14ac:dyDescent="0.3">
      <c r="A54" s="70" t="s">
        <v>21</v>
      </c>
      <c r="B54" s="10"/>
      <c r="G54" s="8"/>
    </row>
    <row r="55" spans="1:9" x14ac:dyDescent="0.3">
      <c r="G55" s="8"/>
    </row>
    <row r="56" spans="1:9" x14ac:dyDescent="0.3">
      <c r="A56" s="44" t="s">
        <v>20</v>
      </c>
      <c r="B56" s="44"/>
      <c r="C56" s="46" t="s">
        <v>19</v>
      </c>
      <c r="D56" s="109">
        <f>'Materials Table 100m'!K$23*3600/1000000</f>
        <v>2.0699999999999998</v>
      </c>
      <c r="E56" s="109">
        <f>'Materials Table 100m'!L$23*3600/1000000</f>
        <v>2.0699999999999998</v>
      </c>
      <c r="F56" s="109">
        <f>'Materials Table 100m'!M$23*3600/1000000</f>
        <v>0.36082778399999993</v>
      </c>
      <c r="G56" s="30"/>
      <c r="H56" s="25"/>
      <c r="I56" s="25"/>
    </row>
    <row r="57" spans="1:9" x14ac:dyDescent="0.3">
      <c r="A57" s="44" t="s">
        <v>18</v>
      </c>
      <c r="B57" s="44"/>
      <c r="C57" s="46" t="s">
        <v>17</v>
      </c>
      <c r="D57" s="28">
        <f>SUM(D47*D56)</f>
        <v>1021.7842874600973</v>
      </c>
      <c r="E57" s="28">
        <f>SUM(E47*E56)</f>
        <v>2542.0340016573546</v>
      </c>
      <c r="F57" s="28">
        <f>SUM(F47*F56)</f>
        <v>357.45150119659797</v>
      </c>
      <c r="G57" s="30"/>
      <c r="H57" s="25"/>
      <c r="I57" s="25"/>
    </row>
    <row r="58" spans="1:9" ht="28.8" x14ac:dyDescent="0.3">
      <c r="A58" s="44" t="s">
        <v>107</v>
      </c>
      <c r="B58" s="44"/>
      <c r="C58" s="46" t="s">
        <v>9</v>
      </c>
      <c r="D58" s="23">
        <v>0.7</v>
      </c>
      <c r="E58" s="23">
        <v>0.7</v>
      </c>
      <c r="F58" s="23">
        <v>0.7</v>
      </c>
      <c r="G58" s="30"/>
      <c r="H58" s="25" t="s">
        <v>108</v>
      </c>
      <c r="I58" s="25"/>
    </row>
    <row r="59" spans="1:9" ht="43.2" x14ac:dyDescent="0.3">
      <c r="A59" s="45" t="s">
        <v>16</v>
      </c>
      <c r="B59" s="45"/>
      <c r="C59" s="52" t="s">
        <v>15</v>
      </c>
      <c r="D59" s="26">
        <f>D56*1000*D36/D58</f>
        <v>127.98514285714288</v>
      </c>
      <c r="E59" s="26">
        <f t="shared" ref="E59:F59" si="17">E56*1000*E36/E58</f>
        <v>511.9405714285715</v>
      </c>
      <c r="F59" s="26">
        <f t="shared" si="17"/>
        <v>36.288965705142857</v>
      </c>
      <c r="G59" s="111">
        <v>120</v>
      </c>
      <c r="H59" s="25" t="s">
        <v>129</v>
      </c>
      <c r="I59" s="25"/>
    </row>
    <row r="60" spans="1:9" ht="28.8" x14ac:dyDescent="0.3">
      <c r="A60" s="44" t="s">
        <v>13</v>
      </c>
      <c r="B60" s="44"/>
      <c r="C60" s="46" t="s">
        <v>12</v>
      </c>
      <c r="D60" s="71">
        <v>1365</v>
      </c>
      <c r="E60" s="71">
        <v>1365</v>
      </c>
      <c r="F60" s="71">
        <v>1365</v>
      </c>
      <c r="G60" s="112"/>
      <c r="H60" s="25" t="s">
        <v>145</v>
      </c>
      <c r="I60" s="113" t="s">
        <v>11</v>
      </c>
    </row>
    <row r="61" spans="1:9" x14ac:dyDescent="0.3">
      <c r="A61" s="44" t="s">
        <v>10</v>
      </c>
      <c r="B61" s="44"/>
      <c r="C61" s="46" t="s">
        <v>9</v>
      </c>
      <c r="D61" s="23">
        <v>0.3</v>
      </c>
      <c r="E61" s="23">
        <v>0.3</v>
      </c>
      <c r="F61" s="23">
        <v>0.3</v>
      </c>
      <c r="G61" s="30"/>
      <c r="H61" s="25"/>
      <c r="I61" s="25"/>
    </row>
    <row r="62" spans="1:9" ht="28.8" x14ac:dyDescent="0.3">
      <c r="A62" s="45" t="s">
        <v>148</v>
      </c>
      <c r="B62" s="45"/>
      <c r="C62" s="52" t="s">
        <v>3</v>
      </c>
      <c r="D62" s="26">
        <f>SUM(D59/D60)*1000/D61</f>
        <v>312.54003139717435</v>
      </c>
      <c r="E62" s="26">
        <f t="shared" ref="E62:F62" si="18">SUM(E59/E60)*1000/E61</f>
        <v>1250.1601255886974</v>
      </c>
      <c r="F62" s="26">
        <f t="shared" si="18"/>
        <v>88.617742869701729</v>
      </c>
      <c r="G62" s="24"/>
      <c r="H62" s="25" t="s">
        <v>146</v>
      </c>
      <c r="I62" s="113" t="s">
        <v>7</v>
      </c>
    </row>
    <row r="63" spans="1:9" x14ac:dyDescent="0.3">
      <c r="A63" s="44" t="s">
        <v>2</v>
      </c>
      <c r="B63" s="44"/>
      <c r="C63" s="46" t="s">
        <v>0</v>
      </c>
      <c r="D63" s="28">
        <f>SQRT(D62)</f>
        <v>17.678801752301379</v>
      </c>
      <c r="E63" s="28">
        <f>SQRT(E62)</f>
        <v>35.357603504602757</v>
      </c>
      <c r="F63" s="28">
        <f>SQRT(F62)</f>
        <v>9.4136997439742967</v>
      </c>
      <c r="G63" s="111">
        <f>SQRT(G65)</f>
        <v>50</v>
      </c>
      <c r="H63" s="25" t="s">
        <v>6</v>
      </c>
      <c r="I63" s="25"/>
    </row>
    <row r="64" spans="1:9" x14ac:dyDescent="0.3">
      <c r="A64" s="44" t="s">
        <v>1</v>
      </c>
      <c r="B64" s="44"/>
      <c r="C64" s="46" t="s">
        <v>0</v>
      </c>
      <c r="D64" s="28">
        <f>SQRT(D62*4/3.14)</f>
        <v>19.953450012089025</v>
      </c>
      <c r="E64" s="28">
        <f>SQRT(E62*4/3.14)</f>
        <v>39.90690002417805</v>
      </c>
      <c r="F64" s="28">
        <f>SQRT(F62*4/3.14)</f>
        <v>10.624916207669695</v>
      </c>
      <c r="G64" s="111">
        <f>SQRT(G65*4/3.14)</f>
        <v>56.433264798310034</v>
      </c>
      <c r="H64" s="25" t="s">
        <v>5</v>
      </c>
      <c r="I64" s="25"/>
    </row>
    <row r="65" spans="1:9" x14ac:dyDescent="0.3">
      <c r="A65" s="45" t="s">
        <v>4</v>
      </c>
      <c r="B65" s="45"/>
      <c r="C65" s="52" t="s">
        <v>3</v>
      </c>
      <c r="D65" s="26">
        <f>D59/$G59*$G65/D58</f>
        <v>3809.0816326530617</v>
      </c>
      <c r="E65" s="26">
        <f>E59/$G59*$G65/E58</f>
        <v>15236.326530612247</v>
      </c>
      <c r="F65" s="26">
        <f>F59/$G59*$G65/F58</f>
        <v>1080.0287412244897</v>
      </c>
      <c r="G65" s="111">
        <v>2500</v>
      </c>
      <c r="H65" s="25" t="s">
        <v>147</v>
      </c>
      <c r="I65" s="25"/>
    </row>
    <row r="66" spans="1:9" x14ac:dyDescent="0.3">
      <c r="A66" s="44" t="s">
        <v>2</v>
      </c>
      <c r="B66" s="44"/>
      <c r="C66" s="46" t="s">
        <v>0</v>
      </c>
      <c r="D66" s="28">
        <f>SQRT(D65)</f>
        <v>61.717757838834856</v>
      </c>
      <c r="E66" s="28">
        <f>SQRT(E65)</f>
        <v>123.43551567766971</v>
      </c>
      <c r="F66" s="28">
        <f>SQRT(F65)</f>
        <v>32.863790731205825</v>
      </c>
      <c r="G66" s="24"/>
      <c r="H66" s="25"/>
      <c r="I66" s="25"/>
    </row>
    <row r="67" spans="1:9" x14ac:dyDescent="0.3">
      <c r="A67" s="44" t="s">
        <v>1</v>
      </c>
      <c r="B67" s="44"/>
      <c r="C67" s="46" t="s">
        <v>0</v>
      </c>
      <c r="D67" s="28">
        <f>SQRT(D65*4/3.14)</f>
        <v>69.658691417538847</v>
      </c>
      <c r="E67" s="28">
        <f>SQRT(E65*4/3.14)</f>
        <v>139.31738283507769</v>
      </c>
      <c r="F67" s="28">
        <f>SQRT(F65*4/3.14)</f>
        <v>37.092220092207704</v>
      </c>
      <c r="G67" s="24"/>
      <c r="H67" s="25"/>
      <c r="I67" s="25"/>
    </row>
    <row r="69" spans="1:9" x14ac:dyDescent="0.3">
      <c r="A69" s="27" t="s">
        <v>109</v>
      </c>
    </row>
    <row r="70" spans="1:9" x14ac:dyDescent="0.3">
      <c r="A70" s="68" t="s">
        <v>110</v>
      </c>
    </row>
    <row r="71" spans="1:9" x14ac:dyDescent="0.3">
      <c r="A71" s="21" t="s">
        <v>117</v>
      </c>
    </row>
  </sheetData>
  <hyperlinks>
    <hyperlink ref="I60" r:id="rId1" xr:uid="{B06EF6EC-6194-4198-8A35-352CCD41FC3E}"/>
    <hyperlink ref="I62" r:id="rId2" xr:uid="{963821D4-7214-4F91-B11E-5CA307CE758E}"/>
    <hyperlink ref="I49" r:id="rId3" xr:uid="{690C7C67-8722-43AC-B01F-6CBEF6AF0C31}"/>
    <hyperlink ref="I50" r:id="rId4" xr:uid="{2AD4160D-AF7C-4ED1-94B9-F606F517879E}"/>
  </hyperlinks>
  <pageMargins left="0.7" right="0.7" top="0.75" bottom="0.75" header="0.3" footer="0.3"/>
  <pageSetup paperSize="9" orientation="portrait" horizontalDpi="4294967293" verticalDpi="300" r:id="rId5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8" name="Drop Down 1">
              <controlPr defaultSize="0" autoLine="0" autoPict="0">
                <anchor moveWithCells="1">
                  <from>
                    <xdr:col>2</xdr:col>
                    <xdr:colOff>609600</xdr:colOff>
                    <xdr:row>42</xdr:row>
                    <xdr:rowOff>175260</xdr:rowOff>
                  </from>
                  <to>
                    <xdr:col>4</xdr:col>
                    <xdr:colOff>7620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9" name="Drop Down 2">
              <controlPr defaultSize="0" autoLine="0" autoPict="0">
                <anchor moveWithCells="1">
                  <from>
                    <xdr:col>4</xdr:col>
                    <xdr:colOff>0</xdr:colOff>
                    <xdr:row>42</xdr:row>
                    <xdr:rowOff>182880</xdr:rowOff>
                  </from>
                  <to>
                    <xdr:col>5</xdr:col>
                    <xdr:colOff>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10" name="Drop Down 3">
              <controlPr defaultSize="0" autoLine="0" autoPict="0">
                <anchor moveWithCells="1">
                  <from>
                    <xdr:col>5</xdr:col>
                    <xdr:colOff>0</xdr:colOff>
                    <xdr:row>42</xdr:row>
                    <xdr:rowOff>175260</xdr:rowOff>
                  </from>
                  <to>
                    <xdr:col>6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BEBC-3CDA-4A77-BADB-FDE5FCCB5456}">
  <dimension ref="A1:J16"/>
  <sheetViews>
    <sheetView workbookViewId="0">
      <selection activeCell="D5" sqref="D5:D11"/>
    </sheetView>
  </sheetViews>
  <sheetFormatPr defaultColWidth="9.109375" defaultRowHeight="14.4" x14ac:dyDescent="0.3"/>
  <cols>
    <col min="1" max="1" width="39" customWidth="1"/>
  </cols>
  <sheetData>
    <row r="1" spans="1:10" x14ac:dyDescent="0.3">
      <c r="B1" t="s">
        <v>87</v>
      </c>
      <c r="C1" t="s">
        <v>86</v>
      </c>
      <c r="D1" t="s">
        <v>85</v>
      </c>
      <c r="H1" t="s">
        <v>87</v>
      </c>
      <c r="I1" t="s">
        <v>86</v>
      </c>
      <c r="J1" t="s">
        <v>85</v>
      </c>
    </row>
    <row r="2" spans="1:10" x14ac:dyDescent="0.3">
      <c r="A2" s="2" t="s">
        <v>75</v>
      </c>
      <c r="B2" s="64">
        <f>'Basic Calcs 100m'!D8*100</f>
        <v>2</v>
      </c>
      <c r="C2" s="64">
        <f>'Basic Calcs 100m'!E8*100</f>
        <v>5</v>
      </c>
      <c r="D2" s="64">
        <f>'Basic Calcs 100m'!F8*100</f>
        <v>10</v>
      </c>
      <c r="E2" s="5" t="s">
        <v>112</v>
      </c>
      <c r="G2" t="s">
        <v>75</v>
      </c>
      <c r="H2">
        <v>2</v>
      </c>
      <c r="I2">
        <v>5</v>
      </c>
      <c r="J2">
        <v>10</v>
      </c>
    </row>
    <row r="3" spans="1:10" x14ac:dyDescent="0.3">
      <c r="A3" s="2" t="s">
        <v>23</v>
      </c>
      <c r="B3">
        <f>'Basic Calcs 100m'!D40</f>
        <v>8.495012186200114</v>
      </c>
      <c r="C3">
        <f>'Basic Calcs 100m'!E40</f>
        <v>5.3070110500694847</v>
      </c>
      <c r="D3">
        <f>'Basic Calcs 100m'!F40</f>
        <v>10.6061168791224</v>
      </c>
      <c r="E3" s="5" t="s">
        <v>22</v>
      </c>
      <c r="G3" t="s">
        <v>23</v>
      </c>
      <c r="H3">
        <v>1.0791824363775266</v>
      </c>
      <c r="I3">
        <v>2.6836218436072485</v>
      </c>
      <c r="J3">
        <v>5.3195182069169888</v>
      </c>
    </row>
    <row r="5" spans="1:10" x14ac:dyDescent="0.3">
      <c r="A5" s="2" t="s">
        <v>75</v>
      </c>
      <c r="B5" s="64">
        <f>B2</f>
        <v>2</v>
      </c>
      <c r="C5" s="64">
        <f t="shared" ref="C5:D5" si="0">C2</f>
        <v>5</v>
      </c>
      <c r="D5" s="64">
        <f t="shared" si="0"/>
        <v>10</v>
      </c>
    </row>
    <row r="6" spans="1:10" x14ac:dyDescent="0.3">
      <c r="A6" s="2" t="s">
        <v>48</v>
      </c>
      <c r="B6">
        <f>'Basic Calcs 100m'!D49</f>
        <v>7.7127437157314116</v>
      </c>
      <c r="C6">
        <f>'Basic Calcs 100m'!E49</f>
        <v>19.188058587389452</v>
      </c>
      <c r="D6">
        <f>'Basic Calcs 100m'!F49</f>
        <v>15.478796128950105</v>
      </c>
    </row>
    <row r="7" spans="1:10" x14ac:dyDescent="0.3">
      <c r="A7" s="2"/>
    </row>
    <row r="8" spans="1:10" x14ac:dyDescent="0.3">
      <c r="A8" s="2" t="s">
        <v>61</v>
      </c>
      <c r="B8">
        <f>'Basic Calcs 100m'!D21</f>
        <v>364.96532185346422</v>
      </c>
      <c r="C8">
        <f>'Basic Calcs 100m'!E21</f>
        <v>907.97467622397403</v>
      </c>
      <c r="D8">
        <f>'Basic Calcs 100m'!F21</f>
        <v>1801.1690040960123</v>
      </c>
      <c r="E8" s="5" t="s">
        <v>58</v>
      </c>
    </row>
    <row r="9" spans="1:10" x14ac:dyDescent="0.3">
      <c r="A9" s="2" t="s">
        <v>60</v>
      </c>
      <c r="B9">
        <f>'Basic Calcs 100m'!D22</f>
        <v>50</v>
      </c>
      <c r="C9">
        <f>'Basic Calcs 100m'!E22</f>
        <v>50</v>
      </c>
      <c r="D9">
        <f>'Basic Calcs 100m'!F22</f>
        <v>50</v>
      </c>
      <c r="E9" s="5"/>
    </row>
    <row r="10" spans="1:10" x14ac:dyDescent="0.3">
      <c r="A10" s="2" t="s">
        <v>59</v>
      </c>
      <c r="B10">
        <f>'Basic Calcs 100m'!D23</f>
        <v>436.83496876293066</v>
      </c>
      <c r="C10">
        <f>'Basic Calcs 100m'!E23</f>
        <v>425.97478167552049</v>
      </c>
      <c r="D10">
        <f>'Basic Calcs 100m'!F23</f>
        <v>408.11089511807972</v>
      </c>
      <c r="E10" s="5" t="s">
        <v>58</v>
      </c>
    </row>
    <row r="11" spans="1:10" x14ac:dyDescent="0.3">
      <c r="A11" s="2" t="s">
        <v>51</v>
      </c>
      <c r="B11">
        <f>'Basic Calcs 100m'!D47</f>
        <v>493.61559780681034</v>
      </c>
      <c r="C11">
        <f>'Basic Calcs 100m'!E47</f>
        <v>1228.035749592925</v>
      </c>
      <c r="D11">
        <f>'Basic Calcs 100m'!F47</f>
        <v>990.64295225280671</v>
      </c>
      <c r="E11" s="5" t="s">
        <v>50</v>
      </c>
    </row>
    <row r="12" spans="1:10" x14ac:dyDescent="0.3">
      <c r="E12" s="5"/>
    </row>
    <row r="13" spans="1:10" x14ac:dyDescent="0.3">
      <c r="A13" s="2" t="s">
        <v>46</v>
      </c>
      <c r="B13">
        <f>'Basic Calcs 100m'!D51</f>
        <v>402.02028775294258</v>
      </c>
      <c r="C13">
        <f>'Basic Calcs 100m'!E51</f>
        <v>100.95127781965461</v>
      </c>
      <c r="D13">
        <f>'Basic Calcs 100m'!F51</f>
        <v>250.09907932305418</v>
      </c>
      <c r="E13" s="5" t="s">
        <v>24</v>
      </c>
    </row>
    <row r="15" spans="1:10" x14ac:dyDescent="0.3">
      <c r="A15" s="2" t="s">
        <v>16</v>
      </c>
      <c r="B15">
        <f>'Basic Calcs 100m'!D59</f>
        <v>127.98514285714288</v>
      </c>
      <c r="C15">
        <f>'Basic Calcs 100m'!E59</f>
        <v>511.9405714285715</v>
      </c>
      <c r="D15">
        <f>'Basic Calcs 100m'!F59</f>
        <v>36.288965705142857</v>
      </c>
      <c r="E15" s="5" t="s">
        <v>15</v>
      </c>
    </row>
    <row r="16" spans="1:10" x14ac:dyDescent="0.3">
      <c r="A16" s="2" t="s">
        <v>8</v>
      </c>
      <c r="B16">
        <f>'Basic Calcs 100m'!D62</f>
        <v>312.54003139717435</v>
      </c>
      <c r="C16">
        <f>'Basic Calcs 100m'!E62</f>
        <v>1250.1601255886974</v>
      </c>
      <c r="D16">
        <f>'Basic Calcs 100m'!F62</f>
        <v>88.617742869701729</v>
      </c>
      <c r="E16" s="5" t="s">
        <v>3</v>
      </c>
    </row>
  </sheetData>
  <phoneticPr fontId="7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5211-0664-4269-AC50-C784539BAD83}">
  <sheetPr codeName="Sheet26"/>
  <dimension ref="A1:O23"/>
  <sheetViews>
    <sheetView showGridLines="0" topLeftCell="H1" workbookViewId="0">
      <selection activeCell="N2" sqref="N2:N21"/>
    </sheetView>
  </sheetViews>
  <sheetFormatPr defaultColWidth="9.109375" defaultRowHeight="14.4" x14ac:dyDescent="0.3"/>
  <cols>
    <col min="1" max="7" width="0" style="14" hidden="1" customWidth="1"/>
    <col min="8" max="8" width="15.44140625" style="14" bestFit="1" customWidth="1"/>
    <col min="9" max="9" width="10.5546875" style="15" customWidth="1"/>
    <col min="10" max="10" width="65.6640625" style="14" customWidth="1"/>
    <col min="11" max="13" width="9.33203125" style="14" hidden="1" customWidth="1"/>
    <col min="14" max="14" width="11.5546875" style="15" bestFit="1" customWidth="1"/>
    <col min="15" max="15" width="65.6640625" style="14" customWidth="1"/>
    <col min="16" max="16384" width="9.109375" style="14"/>
  </cols>
  <sheetData>
    <row r="1" spans="1:15" ht="28.8" x14ac:dyDescent="0.3">
      <c r="E1" s="14">
        <v>1</v>
      </c>
      <c r="F1" s="14">
        <v>2</v>
      </c>
      <c r="G1" s="14">
        <v>3</v>
      </c>
      <c r="H1" s="58" t="s">
        <v>103</v>
      </c>
      <c r="I1" s="59" t="s">
        <v>102</v>
      </c>
      <c r="J1" s="58" t="s">
        <v>83</v>
      </c>
      <c r="K1" s="58"/>
      <c r="L1" s="58"/>
      <c r="M1" s="58"/>
      <c r="N1" s="59" t="s">
        <v>101</v>
      </c>
      <c r="O1" s="58" t="s">
        <v>83</v>
      </c>
    </row>
    <row r="2" spans="1:15" x14ac:dyDescent="0.3">
      <c r="A2" s="14">
        <v>1</v>
      </c>
      <c r="B2" s="14">
        <v>2</v>
      </c>
      <c r="C2" s="14">
        <v>2</v>
      </c>
      <c r="D2" s="14">
        <v>4</v>
      </c>
      <c r="E2" s="14" t="str">
        <f t="shared" ref="E2:E21" si="0">IF(B2=A2,I2,"")</f>
        <v/>
      </c>
      <c r="F2" s="14" t="str">
        <f t="shared" ref="F2:F21" si="1">IF(C2=A2,I2,"")</f>
        <v/>
      </c>
      <c r="G2" s="14" t="str">
        <f t="shared" ref="G2:G21" si="2">IF(D2=A2,I2,"")</f>
        <v/>
      </c>
      <c r="H2" s="73" t="str">
        <f>'Materials Properties'!H2</f>
        <v>Moon Rock</v>
      </c>
      <c r="I2" s="73">
        <f>'Materials Properties'!I2</f>
        <v>2840</v>
      </c>
      <c r="J2" s="61" t="s">
        <v>99</v>
      </c>
      <c r="K2" s="60" t="str">
        <f t="shared" ref="K2:K21" si="3">IF(A2=B2,N2,"")</f>
        <v/>
      </c>
      <c r="L2" s="60" t="str">
        <f t="shared" ref="L2:L21" si="4">IF(C2=A2,N2,"")</f>
        <v/>
      </c>
      <c r="M2" s="60" t="str">
        <f t="shared" ref="M2:M21" si="5">IF(D2=A2,N2,"")</f>
        <v/>
      </c>
      <c r="N2" s="73">
        <f>'Materials Properties'!N2</f>
        <v>150</v>
      </c>
      <c r="O2" s="63" t="s">
        <v>98</v>
      </c>
    </row>
    <row r="3" spans="1:15" ht="28.8" x14ac:dyDescent="0.3">
      <c r="A3" s="14">
        <v>2</v>
      </c>
      <c r="B3" s="14">
        <f t="shared" ref="B3:B21" si="6">B2</f>
        <v>2</v>
      </c>
      <c r="C3" s="14">
        <f t="shared" ref="C3:C21" si="7">C2</f>
        <v>2</v>
      </c>
      <c r="D3" s="14">
        <f t="shared" ref="D3:D21" si="8">D2</f>
        <v>4</v>
      </c>
      <c r="E3" s="14">
        <f t="shared" si="0"/>
        <v>2705</v>
      </c>
      <c r="F3" s="14">
        <f t="shared" si="1"/>
        <v>2705</v>
      </c>
      <c r="G3" s="14" t="str">
        <f t="shared" si="2"/>
        <v/>
      </c>
      <c r="H3" s="73" t="str">
        <f>'Materials Properties'!H3</f>
        <v>Auminium</v>
      </c>
      <c r="I3" s="73">
        <f>'Materials Properties'!I3</f>
        <v>2705</v>
      </c>
      <c r="J3" s="61" t="s">
        <v>95</v>
      </c>
      <c r="K3" s="60">
        <f t="shared" si="3"/>
        <v>575</v>
      </c>
      <c r="L3" s="60">
        <f t="shared" si="4"/>
        <v>575</v>
      </c>
      <c r="M3" s="60" t="str">
        <f t="shared" si="5"/>
        <v/>
      </c>
      <c r="N3" s="73">
        <f>'Materials Properties'!N3</f>
        <v>575</v>
      </c>
      <c r="O3" s="61" t="s">
        <v>94</v>
      </c>
    </row>
    <row r="4" spans="1:15" ht="28.8" x14ac:dyDescent="0.3">
      <c r="A4" s="14">
        <v>3</v>
      </c>
      <c r="B4" s="14">
        <f t="shared" si="6"/>
        <v>2</v>
      </c>
      <c r="C4" s="14">
        <f t="shared" si="7"/>
        <v>2</v>
      </c>
      <c r="D4" s="14">
        <f t="shared" si="8"/>
        <v>4</v>
      </c>
      <c r="E4" s="14" t="str">
        <f t="shared" si="0"/>
        <v/>
      </c>
      <c r="F4" s="14" t="str">
        <f t="shared" si="1"/>
        <v/>
      </c>
      <c r="G4" s="14" t="str">
        <f t="shared" si="2"/>
        <v/>
      </c>
      <c r="H4" s="73" t="str">
        <f>'Materials Properties'!H4</f>
        <v>Steel</v>
      </c>
      <c r="I4" s="73">
        <f>'Materials Properties'!I4</f>
        <v>7850</v>
      </c>
      <c r="J4" s="61" t="s">
        <v>95</v>
      </c>
      <c r="K4" s="60" t="str">
        <f t="shared" si="3"/>
        <v/>
      </c>
      <c r="L4" s="60" t="str">
        <f t="shared" si="4"/>
        <v/>
      </c>
      <c r="M4" s="60" t="str">
        <f t="shared" si="5"/>
        <v/>
      </c>
      <c r="N4" s="73">
        <f>'Materials Properties'!N4</f>
        <v>600</v>
      </c>
      <c r="O4" s="61" t="s">
        <v>94</v>
      </c>
    </row>
    <row r="5" spans="1:15" ht="57.6" x14ac:dyDescent="0.3">
      <c r="A5" s="14">
        <v>4</v>
      </c>
      <c r="B5" s="14">
        <f t="shared" si="6"/>
        <v>2</v>
      </c>
      <c r="C5" s="14">
        <f t="shared" si="7"/>
        <v>2</v>
      </c>
      <c r="D5" s="14">
        <f t="shared" si="8"/>
        <v>4</v>
      </c>
      <c r="E5" s="14" t="str">
        <f t="shared" si="0"/>
        <v/>
      </c>
      <c r="F5" s="14" t="str">
        <f t="shared" si="1"/>
        <v/>
      </c>
      <c r="G5" s="14">
        <f t="shared" si="2"/>
        <v>1100</v>
      </c>
      <c r="H5" s="73" t="str">
        <f>'Materials Properties'!H5</f>
        <v>High Impact ABS</v>
      </c>
      <c r="I5" s="73">
        <f>'Materials Properties'!I5</f>
        <v>1100</v>
      </c>
      <c r="J5" s="61" t="s">
        <v>92</v>
      </c>
      <c r="K5" s="60" t="str">
        <f t="shared" si="3"/>
        <v/>
      </c>
      <c r="L5" s="60" t="str">
        <f t="shared" si="4"/>
        <v/>
      </c>
      <c r="M5" s="60">
        <f t="shared" si="5"/>
        <v>100.22993999999998</v>
      </c>
      <c r="N5" s="73">
        <f>'Materials Properties'!N5</f>
        <v>100.22993999999998</v>
      </c>
      <c r="O5" s="61" t="s">
        <v>91</v>
      </c>
    </row>
    <row r="6" spans="1:15" x14ac:dyDescent="0.3">
      <c r="A6" s="14">
        <v>5</v>
      </c>
      <c r="B6" s="14">
        <f t="shared" si="6"/>
        <v>2</v>
      </c>
      <c r="C6" s="14">
        <f t="shared" si="7"/>
        <v>2</v>
      </c>
      <c r="D6" s="14">
        <f t="shared" si="8"/>
        <v>4</v>
      </c>
      <c r="E6" s="14" t="str">
        <f t="shared" si="0"/>
        <v/>
      </c>
      <c r="F6" s="14" t="str">
        <f t="shared" si="1"/>
        <v/>
      </c>
      <c r="G6" s="14" t="str">
        <f t="shared" si="2"/>
        <v/>
      </c>
      <c r="H6" s="73" t="str">
        <f>'Materials Properties'!H6</f>
        <v>Add to table</v>
      </c>
      <c r="I6" s="73">
        <f>'Materials Properties'!I6</f>
        <v>0</v>
      </c>
      <c r="J6" s="60"/>
      <c r="K6" s="60" t="str">
        <f t="shared" si="3"/>
        <v/>
      </c>
      <c r="L6" s="60" t="str">
        <f t="shared" si="4"/>
        <v/>
      </c>
      <c r="M6" s="60" t="str">
        <f t="shared" si="5"/>
        <v/>
      </c>
      <c r="N6" s="73">
        <f>'Materials Properties'!N6</f>
        <v>0</v>
      </c>
      <c r="O6" s="60"/>
    </row>
    <row r="7" spans="1:15" x14ac:dyDescent="0.3">
      <c r="A7" s="14">
        <v>6</v>
      </c>
      <c r="B7" s="14">
        <f t="shared" si="6"/>
        <v>2</v>
      </c>
      <c r="C7" s="14">
        <f t="shared" si="7"/>
        <v>2</v>
      </c>
      <c r="D7" s="14">
        <f t="shared" si="8"/>
        <v>4</v>
      </c>
      <c r="E7" s="14" t="str">
        <f t="shared" si="0"/>
        <v/>
      </c>
      <c r="F7" s="14" t="str">
        <f t="shared" si="1"/>
        <v/>
      </c>
      <c r="G7" s="14" t="str">
        <f t="shared" si="2"/>
        <v/>
      </c>
      <c r="H7" s="73" t="str">
        <f>'Materials Properties'!H7</f>
        <v>Add to table</v>
      </c>
      <c r="I7" s="73">
        <f>'Materials Properties'!I7</f>
        <v>0</v>
      </c>
      <c r="J7" s="60"/>
      <c r="K7" s="60" t="str">
        <f t="shared" si="3"/>
        <v/>
      </c>
      <c r="L7" s="60" t="str">
        <f t="shared" si="4"/>
        <v/>
      </c>
      <c r="M7" s="60" t="str">
        <f t="shared" si="5"/>
        <v/>
      </c>
      <c r="N7" s="73">
        <f>'Materials Properties'!N7</f>
        <v>0</v>
      </c>
      <c r="O7" s="60"/>
    </row>
    <row r="8" spans="1:15" x14ac:dyDescent="0.3">
      <c r="A8" s="14">
        <v>7</v>
      </c>
      <c r="B8" s="14">
        <f t="shared" si="6"/>
        <v>2</v>
      </c>
      <c r="C8" s="14">
        <f t="shared" si="7"/>
        <v>2</v>
      </c>
      <c r="D8" s="14">
        <f t="shared" si="8"/>
        <v>4</v>
      </c>
      <c r="E8" s="14" t="str">
        <f t="shared" si="0"/>
        <v/>
      </c>
      <c r="F8" s="14" t="str">
        <f t="shared" si="1"/>
        <v/>
      </c>
      <c r="G8" s="14" t="str">
        <f t="shared" si="2"/>
        <v/>
      </c>
      <c r="H8" s="73" t="str">
        <f>'Materials Properties'!H8</f>
        <v>Add to table</v>
      </c>
      <c r="I8" s="73">
        <f>'Materials Properties'!I8</f>
        <v>0</v>
      </c>
      <c r="J8" s="60"/>
      <c r="K8" s="60" t="str">
        <f t="shared" si="3"/>
        <v/>
      </c>
      <c r="L8" s="60" t="str">
        <f t="shared" si="4"/>
        <v/>
      </c>
      <c r="M8" s="60" t="str">
        <f t="shared" si="5"/>
        <v/>
      </c>
      <c r="N8" s="73">
        <f>'Materials Properties'!N8</f>
        <v>0</v>
      </c>
      <c r="O8" s="60"/>
    </row>
    <row r="9" spans="1:15" x14ac:dyDescent="0.3">
      <c r="A9" s="14">
        <v>8</v>
      </c>
      <c r="B9" s="14">
        <f t="shared" si="6"/>
        <v>2</v>
      </c>
      <c r="C9" s="14">
        <f t="shared" si="7"/>
        <v>2</v>
      </c>
      <c r="D9" s="14">
        <f t="shared" si="8"/>
        <v>4</v>
      </c>
      <c r="E9" s="14" t="str">
        <f t="shared" si="0"/>
        <v/>
      </c>
      <c r="F9" s="14" t="str">
        <f t="shared" si="1"/>
        <v/>
      </c>
      <c r="G9" s="14" t="str">
        <f t="shared" si="2"/>
        <v/>
      </c>
      <c r="H9" s="73" t="str">
        <f>'Materials Properties'!H9</f>
        <v>Add to table</v>
      </c>
      <c r="I9" s="73">
        <f>'Materials Properties'!I9</f>
        <v>0</v>
      </c>
      <c r="J9" s="60"/>
      <c r="K9" s="60" t="str">
        <f t="shared" si="3"/>
        <v/>
      </c>
      <c r="L9" s="60" t="str">
        <f t="shared" si="4"/>
        <v/>
      </c>
      <c r="M9" s="60" t="str">
        <f t="shared" si="5"/>
        <v/>
      </c>
      <c r="N9" s="73">
        <f>'Materials Properties'!N9</f>
        <v>0</v>
      </c>
      <c r="O9" s="60"/>
    </row>
    <row r="10" spans="1:15" x14ac:dyDescent="0.3">
      <c r="A10" s="14">
        <v>9</v>
      </c>
      <c r="B10" s="14">
        <f t="shared" si="6"/>
        <v>2</v>
      </c>
      <c r="C10" s="14">
        <f t="shared" si="7"/>
        <v>2</v>
      </c>
      <c r="D10" s="14">
        <f t="shared" si="8"/>
        <v>4</v>
      </c>
      <c r="E10" s="14" t="str">
        <f t="shared" si="0"/>
        <v/>
      </c>
      <c r="F10" s="14" t="str">
        <f t="shared" si="1"/>
        <v/>
      </c>
      <c r="G10" s="14" t="str">
        <f t="shared" si="2"/>
        <v/>
      </c>
      <c r="H10" s="73" t="str">
        <f>'Materials Properties'!H10</f>
        <v>Add to table</v>
      </c>
      <c r="I10" s="73">
        <f>'Materials Properties'!I10</f>
        <v>0</v>
      </c>
      <c r="J10" s="60"/>
      <c r="K10" s="60" t="str">
        <f t="shared" si="3"/>
        <v/>
      </c>
      <c r="L10" s="60" t="str">
        <f t="shared" si="4"/>
        <v/>
      </c>
      <c r="M10" s="60" t="str">
        <f t="shared" si="5"/>
        <v/>
      </c>
      <c r="N10" s="73">
        <f>'Materials Properties'!N10</f>
        <v>0</v>
      </c>
      <c r="O10" s="60"/>
    </row>
    <row r="11" spans="1:15" x14ac:dyDescent="0.3">
      <c r="A11" s="14">
        <v>10</v>
      </c>
      <c r="B11" s="14">
        <f t="shared" si="6"/>
        <v>2</v>
      </c>
      <c r="C11" s="14">
        <f t="shared" si="7"/>
        <v>2</v>
      </c>
      <c r="D11" s="14">
        <f t="shared" si="8"/>
        <v>4</v>
      </c>
      <c r="E11" s="14" t="str">
        <f t="shared" si="0"/>
        <v/>
      </c>
      <c r="F11" s="14" t="str">
        <f t="shared" si="1"/>
        <v/>
      </c>
      <c r="G11" s="14" t="str">
        <f t="shared" si="2"/>
        <v/>
      </c>
      <c r="H11" s="73" t="str">
        <f>'Materials Properties'!H11</f>
        <v>Add to table</v>
      </c>
      <c r="I11" s="73">
        <f>'Materials Properties'!I11</f>
        <v>0</v>
      </c>
      <c r="J11" s="60"/>
      <c r="K11" s="60" t="str">
        <f t="shared" si="3"/>
        <v/>
      </c>
      <c r="L11" s="60" t="str">
        <f t="shared" si="4"/>
        <v/>
      </c>
      <c r="M11" s="60" t="str">
        <f t="shared" si="5"/>
        <v/>
      </c>
      <c r="N11" s="73">
        <f>'Materials Properties'!N11</f>
        <v>0</v>
      </c>
      <c r="O11" s="60"/>
    </row>
    <row r="12" spans="1:15" x14ac:dyDescent="0.3">
      <c r="A12" s="14">
        <v>11</v>
      </c>
      <c r="B12" s="14">
        <f t="shared" si="6"/>
        <v>2</v>
      </c>
      <c r="C12" s="14">
        <f t="shared" si="7"/>
        <v>2</v>
      </c>
      <c r="D12" s="14">
        <f t="shared" si="8"/>
        <v>4</v>
      </c>
      <c r="E12" s="14" t="str">
        <f t="shared" si="0"/>
        <v/>
      </c>
      <c r="F12" s="14" t="str">
        <f t="shared" si="1"/>
        <v/>
      </c>
      <c r="G12" s="14" t="str">
        <f t="shared" si="2"/>
        <v/>
      </c>
      <c r="H12" s="73" t="str">
        <f>'Materials Properties'!H12</f>
        <v>Add to table</v>
      </c>
      <c r="I12" s="73">
        <f>'Materials Properties'!I12</f>
        <v>0</v>
      </c>
      <c r="J12" s="60"/>
      <c r="K12" s="60" t="str">
        <f t="shared" si="3"/>
        <v/>
      </c>
      <c r="L12" s="60" t="str">
        <f t="shared" si="4"/>
        <v/>
      </c>
      <c r="M12" s="60" t="str">
        <f t="shared" si="5"/>
        <v/>
      </c>
      <c r="N12" s="73">
        <f>'Materials Properties'!N12</f>
        <v>0</v>
      </c>
      <c r="O12" s="60"/>
    </row>
    <row r="13" spans="1:15" x14ac:dyDescent="0.3">
      <c r="A13" s="14">
        <v>12</v>
      </c>
      <c r="B13" s="14">
        <f t="shared" si="6"/>
        <v>2</v>
      </c>
      <c r="C13" s="14">
        <f t="shared" si="7"/>
        <v>2</v>
      </c>
      <c r="D13" s="14">
        <f t="shared" si="8"/>
        <v>4</v>
      </c>
      <c r="E13" s="14" t="str">
        <f t="shared" si="0"/>
        <v/>
      </c>
      <c r="F13" s="14" t="str">
        <f t="shared" si="1"/>
        <v/>
      </c>
      <c r="G13" s="14" t="str">
        <f t="shared" si="2"/>
        <v/>
      </c>
      <c r="H13" s="73" t="str">
        <f>'Materials Properties'!H13</f>
        <v>Add to table</v>
      </c>
      <c r="I13" s="73">
        <f>'Materials Properties'!I13</f>
        <v>0</v>
      </c>
      <c r="J13" s="60"/>
      <c r="K13" s="60" t="str">
        <f t="shared" si="3"/>
        <v/>
      </c>
      <c r="L13" s="60" t="str">
        <f t="shared" si="4"/>
        <v/>
      </c>
      <c r="M13" s="60" t="str">
        <f t="shared" si="5"/>
        <v/>
      </c>
      <c r="N13" s="73">
        <f>'Materials Properties'!N13</f>
        <v>0</v>
      </c>
      <c r="O13" s="60"/>
    </row>
    <row r="14" spans="1:15" x14ac:dyDescent="0.3">
      <c r="A14" s="14">
        <v>13</v>
      </c>
      <c r="B14" s="14">
        <f t="shared" si="6"/>
        <v>2</v>
      </c>
      <c r="C14" s="14">
        <f t="shared" si="7"/>
        <v>2</v>
      </c>
      <c r="D14" s="14">
        <f t="shared" si="8"/>
        <v>4</v>
      </c>
      <c r="E14" s="14" t="str">
        <f t="shared" si="0"/>
        <v/>
      </c>
      <c r="F14" s="14" t="str">
        <f t="shared" si="1"/>
        <v/>
      </c>
      <c r="G14" s="14" t="str">
        <f t="shared" si="2"/>
        <v/>
      </c>
      <c r="H14" s="73" t="str">
        <f>'Materials Properties'!H14</f>
        <v>Add to table</v>
      </c>
      <c r="I14" s="73">
        <f>'Materials Properties'!I14</f>
        <v>0</v>
      </c>
      <c r="J14" s="60"/>
      <c r="K14" s="60" t="str">
        <f t="shared" si="3"/>
        <v/>
      </c>
      <c r="L14" s="60" t="str">
        <f t="shared" si="4"/>
        <v/>
      </c>
      <c r="M14" s="60" t="str">
        <f t="shared" si="5"/>
        <v/>
      </c>
      <c r="N14" s="73">
        <f>'Materials Properties'!N14</f>
        <v>0</v>
      </c>
      <c r="O14" s="60"/>
    </row>
    <row r="15" spans="1:15" x14ac:dyDescent="0.3">
      <c r="A15" s="14">
        <v>14</v>
      </c>
      <c r="B15" s="14">
        <f t="shared" si="6"/>
        <v>2</v>
      </c>
      <c r="C15" s="14">
        <f t="shared" si="7"/>
        <v>2</v>
      </c>
      <c r="D15" s="14">
        <f t="shared" si="8"/>
        <v>4</v>
      </c>
      <c r="E15" s="14" t="str">
        <f t="shared" si="0"/>
        <v/>
      </c>
      <c r="F15" s="14" t="str">
        <f t="shared" si="1"/>
        <v/>
      </c>
      <c r="G15" s="14" t="str">
        <f t="shared" si="2"/>
        <v/>
      </c>
      <c r="H15" s="73" t="str">
        <f>'Materials Properties'!H15</f>
        <v>Add to table</v>
      </c>
      <c r="I15" s="73">
        <f>'Materials Properties'!I15</f>
        <v>0</v>
      </c>
      <c r="J15" s="60"/>
      <c r="K15" s="60" t="str">
        <f t="shared" si="3"/>
        <v/>
      </c>
      <c r="L15" s="60" t="str">
        <f t="shared" si="4"/>
        <v/>
      </c>
      <c r="M15" s="60" t="str">
        <f t="shared" si="5"/>
        <v/>
      </c>
      <c r="N15" s="73">
        <f>'Materials Properties'!N15</f>
        <v>0</v>
      </c>
      <c r="O15" s="60"/>
    </row>
    <row r="16" spans="1:15" x14ac:dyDescent="0.3">
      <c r="A16" s="14">
        <v>15</v>
      </c>
      <c r="B16" s="14">
        <f t="shared" si="6"/>
        <v>2</v>
      </c>
      <c r="C16" s="14">
        <f t="shared" si="7"/>
        <v>2</v>
      </c>
      <c r="D16" s="14">
        <f t="shared" si="8"/>
        <v>4</v>
      </c>
      <c r="E16" s="14" t="str">
        <f t="shared" si="0"/>
        <v/>
      </c>
      <c r="F16" s="14" t="str">
        <f t="shared" si="1"/>
        <v/>
      </c>
      <c r="G16" s="14" t="str">
        <f t="shared" si="2"/>
        <v/>
      </c>
      <c r="H16" s="73" t="str">
        <f>'Materials Properties'!H16</f>
        <v>Add to table</v>
      </c>
      <c r="I16" s="73">
        <f>'Materials Properties'!I16</f>
        <v>0</v>
      </c>
      <c r="J16" s="60"/>
      <c r="K16" s="60" t="str">
        <f t="shared" si="3"/>
        <v/>
      </c>
      <c r="L16" s="60" t="str">
        <f t="shared" si="4"/>
        <v/>
      </c>
      <c r="M16" s="60" t="str">
        <f t="shared" si="5"/>
        <v/>
      </c>
      <c r="N16" s="73">
        <f>'Materials Properties'!N16</f>
        <v>0</v>
      </c>
      <c r="O16" s="60"/>
    </row>
    <row r="17" spans="1:15" x14ac:dyDescent="0.3">
      <c r="A17" s="14">
        <v>16</v>
      </c>
      <c r="B17" s="14">
        <f t="shared" si="6"/>
        <v>2</v>
      </c>
      <c r="C17" s="14">
        <f t="shared" si="7"/>
        <v>2</v>
      </c>
      <c r="D17" s="14">
        <f t="shared" si="8"/>
        <v>4</v>
      </c>
      <c r="E17" s="14" t="str">
        <f t="shared" si="0"/>
        <v/>
      </c>
      <c r="F17" s="14" t="str">
        <f t="shared" si="1"/>
        <v/>
      </c>
      <c r="G17" s="14" t="str">
        <f t="shared" si="2"/>
        <v/>
      </c>
      <c r="H17" s="73" t="str">
        <f>'Materials Properties'!H17</f>
        <v>Add to table</v>
      </c>
      <c r="I17" s="73">
        <f>'Materials Properties'!I17</f>
        <v>0</v>
      </c>
      <c r="J17" s="60"/>
      <c r="K17" s="60" t="str">
        <f t="shared" si="3"/>
        <v/>
      </c>
      <c r="L17" s="60" t="str">
        <f t="shared" si="4"/>
        <v/>
      </c>
      <c r="M17" s="60" t="str">
        <f t="shared" si="5"/>
        <v/>
      </c>
      <c r="N17" s="73">
        <f>'Materials Properties'!N17</f>
        <v>0</v>
      </c>
      <c r="O17" s="60"/>
    </row>
    <row r="18" spans="1:15" x14ac:dyDescent="0.3">
      <c r="A18" s="14">
        <v>17</v>
      </c>
      <c r="B18" s="14">
        <f t="shared" si="6"/>
        <v>2</v>
      </c>
      <c r="C18" s="14">
        <f t="shared" si="7"/>
        <v>2</v>
      </c>
      <c r="D18" s="14">
        <f t="shared" si="8"/>
        <v>4</v>
      </c>
      <c r="E18" s="14" t="str">
        <f t="shared" si="0"/>
        <v/>
      </c>
      <c r="F18" s="14" t="str">
        <f t="shared" si="1"/>
        <v/>
      </c>
      <c r="G18" s="14" t="str">
        <f t="shared" si="2"/>
        <v/>
      </c>
      <c r="H18" s="73" t="str">
        <f>'Materials Properties'!H18</f>
        <v>Add to table</v>
      </c>
      <c r="I18" s="73">
        <f>'Materials Properties'!I18</f>
        <v>0</v>
      </c>
      <c r="J18" s="60"/>
      <c r="K18" s="60" t="str">
        <f t="shared" si="3"/>
        <v/>
      </c>
      <c r="L18" s="60" t="str">
        <f t="shared" si="4"/>
        <v/>
      </c>
      <c r="M18" s="60" t="str">
        <f t="shared" si="5"/>
        <v/>
      </c>
      <c r="N18" s="73">
        <f>'Materials Properties'!N18</f>
        <v>0</v>
      </c>
      <c r="O18" s="60"/>
    </row>
    <row r="19" spans="1:15" x14ac:dyDescent="0.3">
      <c r="A19" s="14">
        <v>18</v>
      </c>
      <c r="B19" s="14">
        <f t="shared" si="6"/>
        <v>2</v>
      </c>
      <c r="C19" s="14">
        <f t="shared" si="7"/>
        <v>2</v>
      </c>
      <c r="D19" s="14">
        <f t="shared" si="8"/>
        <v>4</v>
      </c>
      <c r="E19" s="14" t="str">
        <f t="shared" si="0"/>
        <v/>
      </c>
      <c r="F19" s="14" t="str">
        <f t="shared" si="1"/>
        <v/>
      </c>
      <c r="G19" s="14" t="str">
        <f t="shared" si="2"/>
        <v/>
      </c>
      <c r="H19" s="73" t="str">
        <f>'Materials Properties'!H19</f>
        <v>Add to table</v>
      </c>
      <c r="I19" s="73">
        <f>'Materials Properties'!I19</f>
        <v>0</v>
      </c>
      <c r="J19" s="60"/>
      <c r="K19" s="60" t="str">
        <f t="shared" si="3"/>
        <v/>
      </c>
      <c r="L19" s="60" t="str">
        <f t="shared" si="4"/>
        <v/>
      </c>
      <c r="M19" s="60" t="str">
        <f t="shared" si="5"/>
        <v/>
      </c>
      <c r="N19" s="73">
        <f>'Materials Properties'!N19</f>
        <v>0</v>
      </c>
      <c r="O19" s="60"/>
    </row>
    <row r="20" spans="1:15" x14ac:dyDescent="0.3">
      <c r="A20" s="14">
        <v>19</v>
      </c>
      <c r="B20" s="14">
        <f t="shared" si="6"/>
        <v>2</v>
      </c>
      <c r="C20" s="14">
        <f t="shared" si="7"/>
        <v>2</v>
      </c>
      <c r="D20" s="14">
        <f t="shared" si="8"/>
        <v>4</v>
      </c>
      <c r="E20" s="14" t="str">
        <f t="shared" si="0"/>
        <v/>
      </c>
      <c r="F20" s="14" t="str">
        <f t="shared" si="1"/>
        <v/>
      </c>
      <c r="G20" s="14" t="str">
        <f t="shared" si="2"/>
        <v/>
      </c>
      <c r="H20" s="73" t="str">
        <f>'Materials Properties'!H20</f>
        <v>Add to table</v>
      </c>
      <c r="I20" s="73">
        <f>'Materials Properties'!I20</f>
        <v>0</v>
      </c>
      <c r="J20" s="60"/>
      <c r="K20" s="60" t="str">
        <f t="shared" si="3"/>
        <v/>
      </c>
      <c r="L20" s="60" t="str">
        <f t="shared" si="4"/>
        <v/>
      </c>
      <c r="M20" s="60" t="str">
        <f t="shared" si="5"/>
        <v/>
      </c>
      <c r="N20" s="73">
        <f>'Materials Properties'!N20</f>
        <v>0</v>
      </c>
      <c r="O20" s="60"/>
    </row>
    <row r="21" spans="1:15" x14ac:dyDescent="0.3">
      <c r="A21" s="14">
        <v>20</v>
      </c>
      <c r="B21" s="14">
        <f t="shared" si="6"/>
        <v>2</v>
      </c>
      <c r="C21" s="14">
        <f t="shared" si="7"/>
        <v>2</v>
      </c>
      <c r="D21" s="14">
        <f t="shared" si="8"/>
        <v>4</v>
      </c>
      <c r="E21" s="14" t="str">
        <f t="shared" si="0"/>
        <v/>
      </c>
      <c r="F21" s="14" t="str">
        <f t="shared" si="1"/>
        <v/>
      </c>
      <c r="G21" s="14" t="str">
        <f t="shared" si="2"/>
        <v/>
      </c>
      <c r="H21" s="73" t="str">
        <f>'Materials Properties'!H21</f>
        <v>Add to table</v>
      </c>
      <c r="I21" s="73">
        <f>'Materials Properties'!I21</f>
        <v>0</v>
      </c>
      <c r="J21" s="60"/>
      <c r="K21" s="60" t="str">
        <f t="shared" si="3"/>
        <v/>
      </c>
      <c r="L21" s="60" t="str">
        <f t="shared" si="4"/>
        <v/>
      </c>
      <c r="M21" s="60" t="str">
        <f t="shared" si="5"/>
        <v/>
      </c>
      <c r="N21" s="73">
        <f>'Materials Properties'!N21</f>
        <v>0</v>
      </c>
      <c r="O21" s="60"/>
    </row>
    <row r="23" spans="1:15" x14ac:dyDescent="0.3">
      <c r="E23" s="14">
        <f>SUM(E2:E21)</f>
        <v>2705</v>
      </c>
      <c r="F23" s="14">
        <f>SUM(F2:F21)</f>
        <v>2705</v>
      </c>
      <c r="G23" s="14">
        <f>SUM(G2:G21)</f>
        <v>1100</v>
      </c>
      <c r="K23" s="14">
        <f>SUM(K2:K21)</f>
        <v>575</v>
      </c>
      <c r="L23" s="14">
        <f>SUM(L2:L21)</f>
        <v>575</v>
      </c>
      <c r="M23" s="14">
        <f>SUM(M2:M21)</f>
        <v>100.22993999999998</v>
      </c>
    </row>
  </sheetData>
  <hyperlinks>
    <hyperlink ref="J2" r:id="rId1" xr:uid="{B13F7EB8-09C9-451D-9D0D-BB472CEC302C}"/>
    <hyperlink ref="J3" r:id="rId2" xr:uid="{94305ABA-39F1-49CD-AA78-AD1AD104541C}"/>
    <hyperlink ref="J4" r:id="rId3" xr:uid="{DEA754CF-A2F6-4856-8B29-D4618ECDAC69}"/>
    <hyperlink ref="J5" r:id="rId4" xr:uid="{9B5A8DAF-1EDE-4496-8ED5-301B69C2BE03}"/>
    <hyperlink ref="O3:O4" r:id="rId5" display="https://electroheatinduction.com/how-to-calculate-electricity-cost-for-melting-metal-in-induction-melting-furnace/" xr:uid="{0D9E9FC4-7073-4D71-9B4A-4C7A9662C9C4}"/>
    <hyperlink ref="O5" r:id="rId6" location=":~:text=A%20kilogram%20of%20a%20semi-crystalline%20resin%2C%20such%20as,vs.%20342%29%2C%20yet%20their%20processing%20temperatures%20are%20similar." xr:uid="{82BBBE47-35BD-461B-8A8A-9F9A6773829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8035-A32D-413E-B4C4-4EDD77828231}">
  <dimension ref="A1:J16"/>
  <sheetViews>
    <sheetView workbookViewId="0">
      <selection activeCell="D5" sqref="D5:D11"/>
    </sheetView>
  </sheetViews>
  <sheetFormatPr defaultColWidth="9.109375" defaultRowHeight="14.4" x14ac:dyDescent="0.3"/>
  <cols>
    <col min="1" max="1" width="39" customWidth="1"/>
  </cols>
  <sheetData>
    <row r="1" spans="1:10" x14ac:dyDescent="0.3">
      <c r="B1" t="s">
        <v>87</v>
      </c>
      <c r="C1" t="s">
        <v>86</v>
      </c>
      <c r="D1" t="s">
        <v>85</v>
      </c>
      <c r="H1" t="s">
        <v>87</v>
      </c>
      <c r="I1" t="s">
        <v>86</v>
      </c>
      <c r="J1" t="s">
        <v>85</v>
      </c>
    </row>
    <row r="2" spans="1:10" x14ac:dyDescent="0.3">
      <c r="A2" s="2" t="s">
        <v>75</v>
      </c>
      <c r="B2" s="64">
        <f>'Basic Calcs All'!D8*100</f>
        <v>2</v>
      </c>
      <c r="C2" s="64">
        <f>'Basic Calcs All'!E8*100</f>
        <v>50</v>
      </c>
      <c r="D2" s="64">
        <f>'Basic Calcs All'!F8*100</f>
        <v>1000</v>
      </c>
      <c r="E2" s="5" t="s">
        <v>112</v>
      </c>
      <c r="G2" t="s">
        <v>75</v>
      </c>
      <c r="H2">
        <v>2</v>
      </c>
      <c r="I2">
        <v>5</v>
      </c>
      <c r="J2">
        <v>10</v>
      </c>
    </row>
    <row r="3" spans="1:10" x14ac:dyDescent="0.3">
      <c r="A3" s="2" t="s">
        <v>23</v>
      </c>
      <c r="B3">
        <f>'Basic Calcs All'!D40</f>
        <v>8.4950121862001158</v>
      </c>
      <c r="C3">
        <f>'Basic Calcs All'!E40</f>
        <v>7.1584713010527645</v>
      </c>
      <c r="D3">
        <f>'Basic Calcs All'!F40</f>
        <v>2.2918490464062233</v>
      </c>
      <c r="E3" s="5" t="s">
        <v>22</v>
      </c>
      <c r="G3" t="s">
        <v>23</v>
      </c>
      <c r="H3">
        <v>1.0791824363775266</v>
      </c>
      <c r="I3">
        <v>2.6836218436072485</v>
      </c>
      <c r="J3">
        <v>5.3195182069169888</v>
      </c>
    </row>
    <row r="5" spans="1:10" x14ac:dyDescent="0.3">
      <c r="A5" s="2" t="s">
        <v>75</v>
      </c>
      <c r="B5" s="64">
        <f>B2</f>
        <v>2</v>
      </c>
      <c r="C5" s="64">
        <f t="shared" ref="C5:D5" si="0">C2</f>
        <v>50</v>
      </c>
      <c r="D5" s="64">
        <f t="shared" si="0"/>
        <v>1000</v>
      </c>
    </row>
    <row r="6" spans="1:10" x14ac:dyDescent="0.3">
      <c r="A6" s="2" t="s">
        <v>48</v>
      </c>
      <c r="B6">
        <f>'Basic Calcs All'!D49</f>
        <v>7.7127437157314116</v>
      </c>
      <c r="C6">
        <f>'Basic Calcs All'!E49</f>
        <v>40291.376257439872</v>
      </c>
      <c r="D6">
        <f>'Basic Calcs All'!F49</f>
        <v>30484755698.350731</v>
      </c>
    </row>
    <row r="7" spans="1:10" x14ac:dyDescent="0.3">
      <c r="A7" s="2"/>
    </row>
    <row r="8" spans="1:10" x14ac:dyDescent="0.3">
      <c r="A8" s="2" t="s">
        <v>61</v>
      </c>
      <c r="B8">
        <f>'Basic Calcs All'!D21</f>
        <v>364.96532185346422</v>
      </c>
      <c r="C8">
        <f>'Basic Calcs All'!E21</f>
        <v>907974.67622399714</v>
      </c>
      <c r="D8">
        <f>'Basic Calcs All'!F21</f>
        <v>1373960820207.3569</v>
      </c>
      <c r="E8" s="5" t="s">
        <v>58</v>
      </c>
    </row>
    <row r="9" spans="1:10" x14ac:dyDescent="0.3">
      <c r="A9" s="2" t="s">
        <v>60</v>
      </c>
      <c r="B9">
        <f>'Basic Calcs All'!D22</f>
        <v>50</v>
      </c>
      <c r="C9">
        <f>'Basic Calcs All'!E22</f>
        <v>10000</v>
      </c>
      <c r="D9">
        <f>'Basic Calcs All'!F22</f>
        <v>100000000</v>
      </c>
      <c r="E9" s="5"/>
    </row>
    <row r="10" spans="1:10" x14ac:dyDescent="0.3">
      <c r="A10" s="2" t="s">
        <v>59</v>
      </c>
      <c r="B10">
        <f>'Basic Calcs All'!D23</f>
        <v>436.83496876293066</v>
      </c>
      <c r="C10">
        <f>'Basic Calcs All'!E23</f>
        <v>2129.8739083776004</v>
      </c>
      <c r="D10">
        <f>'Basic Calcs All'!F23</f>
        <v>208327.52939792644</v>
      </c>
      <c r="E10" s="5" t="s">
        <v>58</v>
      </c>
    </row>
    <row r="11" spans="1:10" x14ac:dyDescent="0.3">
      <c r="A11" s="2" t="s">
        <v>51</v>
      </c>
      <c r="B11">
        <f>'Basic Calcs All'!D47</f>
        <v>493.61559780681034</v>
      </c>
      <c r="C11">
        <f>'Basic Calcs All'!E47</f>
        <v>2578648.0804761518</v>
      </c>
      <c r="D11">
        <f>'Basic Calcs All'!F47</f>
        <v>1951024364694.4468</v>
      </c>
      <c r="E11" s="5" t="s">
        <v>50</v>
      </c>
    </row>
    <row r="12" spans="1:10" x14ac:dyDescent="0.3">
      <c r="E12" s="5"/>
    </row>
    <row r="13" spans="1:10" x14ac:dyDescent="0.3">
      <c r="A13" s="2" t="s">
        <v>46</v>
      </c>
      <c r="B13">
        <f>'Basic Calcs All'!D51</f>
        <v>402.02028775294269</v>
      </c>
      <c r="C13">
        <f>'Basic Calcs All'!E51</f>
        <v>6.4848666577920461E-2</v>
      </c>
      <c r="D13">
        <f>'Basic Calcs All'!F51</f>
        <v>2.744076121900917E-8</v>
      </c>
      <c r="E13" s="5" t="s">
        <v>24</v>
      </c>
    </row>
    <row r="15" spans="1:10" x14ac:dyDescent="0.3">
      <c r="A15" s="2" t="s">
        <v>16</v>
      </c>
      <c r="B15">
        <f>'Basic Calcs All'!D59</f>
        <v>127.98514285714288</v>
      </c>
      <c r="C15">
        <f>'Basic Calcs All'!E59</f>
        <v>70107.428571428565</v>
      </c>
      <c r="D15">
        <f>'Basic Calcs All'!F59</f>
        <v>43817142857.14286</v>
      </c>
      <c r="E15" s="5" t="s">
        <v>15</v>
      </c>
    </row>
    <row r="16" spans="1:10" x14ac:dyDescent="0.3">
      <c r="A16" s="2" t="s">
        <v>8</v>
      </c>
      <c r="B16">
        <f>'Basic Calcs All'!D62</f>
        <v>312.54003139717435</v>
      </c>
      <c r="C16">
        <f>'Basic Calcs All'!E62</f>
        <v>171202.51177394035</v>
      </c>
      <c r="D16">
        <f>'Basic Calcs All'!F62</f>
        <v>107001569858.71274</v>
      </c>
      <c r="E16" s="5" t="s">
        <v>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6691-4F4A-4BCA-B315-30D48A965A63}">
  <dimension ref="A1:O23"/>
  <sheetViews>
    <sheetView showGridLines="0" topLeftCell="H1" workbookViewId="0">
      <selection activeCell="N17" sqref="N17"/>
    </sheetView>
  </sheetViews>
  <sheetFormatPr defaultColWidth="9.109375" defaultRowHeight="14.4" x14ac:dyDescent="0.3"/>
  <cols>
    <col min="1" max="7" width="0" style="14" hidden="1" customWidth="1"/>
    <col min="8" max="8" width="15.44140625" style="14" bestFit="1" customWidth="1"/>
    <col min="9" max="9" width="10.5546875" style="15" customWidth="1"/>
    <col min="10" max="10" width="65.6640625" style="14" customWidth="1"/>
    <col min="11" max="13" width="9.33203125" style="14" hidden="1" customWidth="1"/>
    <col min="14" max="14" width="11.5546875" style="15" bestFit="1" customWidth="1"/>
    <col min="15" max="15" width="65.6640625" style="14" customWidth="1"/>
    <col min="16" max="16384" width="9.109375" style="14"/>
  </cols>
  <sheetData>
    <row r="1" spans="1:15" ht="28.8" x14ac:dyDescent="0.3">
      <c r="E1" s="14">
        <v>1</v>
      </c>
      <c r="F1" s="14">
        <v>2</v>
      </c>
      <c r="G1" s="14">
        <v>3</v>
      </c>
      <c r="H1" s="58" t="s">
        <v>103</v>
      </c>
      <c r="I1" s="59" t="s">
        <v>102</v>
      </c>
      <c r="J1" s="58" t="s">
        <v>83</v>
      </c>
      <c r="K1" s="58"/>
      <c r="L1" s="58"/>
      <c r="M1" s="58"/>
      <c r="N1" s="59" t="s">
        <v>101</v>
      </c>
      <c r="O1" s="58" t="s">
        <v>83</v>
      </c>
    </row>
    <row r="2" spans="1:15" x14ac:dyDescent="0.3">
      <c r="A2" s="14">
        <v>1</v>
      </c>
      <c r="B2" s="14">
        <v>2</v>
      </c>
      <c r="C2" s="14">
        <v>1</v>
      </c>
      <c r="D2" s="14">
        <v>1</v>
      </c>
      <c r="E2" s="14" t="str">
        <f t="shared" ref="E2:E21" si="0">IF(B2=A2,I2,"")</f>
        <v/>
      </c>
      <c r="F2" s="14">
        <f t="shared" ref="F2:F21" si="1">IF(C2=A2,I2,"")</f>
        <v>2840</v>
      </c>
      <c r="G2" s="14">
        <f t="shared" ref="G2:G21" si="2">IF(D2=A2,I2,"")</f>
        <v>2840</v>
      </c>
      <c r="H2" s="60" t="s">
        <v>100</v>
      </c>
      <c r="I2" s="73">
        <v>2840</v>
      </c>
      <c r="J2" s="61" t="s">
        <v>99</v>
      </c>
      <c r="K2" s="60" t="str">
        <f t="shared" ref="K2:K21" si="3">IF(A2=B2,N2,"")</f>
        <v/>
      </c>
      <c r="L2" s="60">
        <f t="shared" ref="L2:L21" si="4">IF(C2=A2,N2,"")</f>
        <v>150</v>
      </c>
      <c r="M2" s="60">
        <f t="shared" ref="M2:M21" si="5">IF(D2=A2,N2,"")</f>
        <v>150</v>
      </c>
      <c r="N2" s="62">
        <v>150</v>
      </c>
      <c r="O2" s="63" t="s">
        <v>98</v>
      </c>
    </row>
    <row r="3" spans="1:15" ht="28.8" x14ac:dyDescent="0.3">
      <c r="A3" s="14">
        <v>2</v>
      </c>
      <c r="B3" s="14">
        <f t="shared" ref="B3:D18" si="6">B2</f>
        <v>2</v>
      </c>
      <c r="C3" s="14">
        <f t="shared" si="6"/>
        <v>1</v>
      </c>
      <c r="D3" s="14">
        <f t="shared" si="6"/>
        <v>1</v>
      </c>
      <c r="E3" s="14">
        <f t="shared" si="0"/>
        <v>2705</v>
      </c>
      <c r="F3" s="14" t="str">
        <f t="shared" si="1"/>
        <v/>
      </c>
      <c r="G3" s="14" t="str">
        <f t="shared" si="2"/>
        <v/>
      </c>
      <c r="H3" s="60" t="s">
        <v>97</v>
      </c>
      <c r="I3" s="73">
        <v>2705</v>
      </c>
      <c r="J3" s="61" t="s">
        <v>95</v>
      </c>
      <c r="K3" s="60">
        <f t="shared" si="3"/>
        <v>575</v>
      </c>
      <c r="L3" s="60" t="str">
        <f t="shared" si="4"/>
        <v/>
      </c>
      <c r="M3" s="60" t="str">
        <f t="shared" si="5"/>
        <v/>
      </c>
      <c r="N3" s="73">
        <v>575</v>
      </c>
      <c r="O3" s="61" t="s">
        <v>94</v>
      </c>
    </row>
    <row r="4" spans="1:15" ht="28.8" x14ac:dyDescent="0.3">
      <c r="A4" s="14">
        <v>3</v>
      </c>
      <c r="B4" s="14">
        <f t="shared" si="6"/>
        <v>2</v>
      </c>
      <c r="C4" s="14">
        <f t="shared" si="6"/>
        <v>1</v>
      </c>
      <c r="D4" s="14">
        <f t="shared" si="6"/>
        <v>1</v>
      </c>
      <c r="E4" s="14" t="str">
        <f t="shared" si="0"/>
        <v/>
      </c>
      <c r="F4" s="14" t="str">
        <f t="shared" si="1"/>
        <v/>
      </c>
      <c r="G4" s="14" t="str">
        <f t="shared" si="2"/>
        <v/>
      </c>
      <c r="H4" s="60" t="s">
        <v>96</v>
      </c>
      <c r="I4" s="73">
        <v>7850</v>
      </c>
      <c r="J4" s="61" t="s">
        <v>95</v>
      </c>
      <c r="K4" s="60" t="str">
        <f t="shared" si="3"/>
        <v/>
      </c>
      <c r="L4" s="60" t="str">
        <f t="shared" si="4"/>
        <v/>
      </c>
      <c r="M4" s="60" t="str">
        <f t="shared" si="5"/>
        <v/>
      </c>
      <c r="N4" s="73">
        <v>600</v>
      </c>
      <c r="O4" s="61" t="s">
        <v>94</v>
      </c>
    </row>
    <row r="5" spans="1:15" ht="57.6" x14ac:dyDescent="0.3">
      <c r="A5" s="14">
        <v>4</v>
      </c>
      <c r="B5" s="14">
        <f t="shared" si="6"/>
        <v>2</v>
      </c>
      <c r="C5" s="14">
        <f t="shared" si="6"/>
        <v>1</v>
      </c>
      <c r="D5" s="14">
        <f t="shared" si="6"/>
        <v>1</v>
      </c>
      <c r="E5" s="14" t="str">
        <f t="shared" si="0"/>
        <v/>
      </c>
      <c r="F5" s="14" t="str">
        <f t="shared" si="1"/>
        <v/>
      </c>
      <c r="G5" s="14" t="str">
        <f t="shared" si="2"/>
        <v/>
      </c>
      <c r="H5" s="60" t="s">
        <v>93</v>
      </c>
      <c r="I5" s="73">
        <v>1100</v>
      </c>
      <c r="J5" s="61" t="s">
        <v>92</v>
      </c>
      <c r="K5" s="60" t="str">
        <f t="shared" si="3"/>
        <v/>
      </c>
      <c r="L5" s="60" t="str">
        <f t="shared" si="4"/>
        <v/>
      </c>
      <c r="M5" s="60" t="str">
        <f t="shared" si="5"/>
        <v/>
      </c>
      <c r="N5" s="74">
        <f>0.00029307*342*1000</f>
        <v>100.22993999999998</v>
      </c>
      <c r="O5" s="61" t="s">
        <v>91</v>
      </c>
    </row>
    <row r="6" spans="1:15" x14ac:dyDescent="0.3">
      <c r="A6" s="14">
        <v>5</v>
      </c>
      <c r="B6" s="14">
        <f t="shared" si="6"/>
        <v>2</v>
      </c>
      <c r="C6" s="14">
        <f t="shared" si="6"/>
        <v>1</v>
      </c>
      <c r="D6" s="14">
        <f t="shared" si="6"/>
        <v>1</v>
      </c>
      <c r="E6" s="14" t="str">
        <f t="shared" si="0"/>
        <v/>
      </c>
      <c r="F6" s="14" t="str">
        <f t="shared" si="1"/>
        <v/>
      </c>
      <c r="G6" s="14" t="str">
        <f t="shared" si="2"/>
        <v/>
      </c>
      <c r="H6" s="60" t="s">
        <v>90</v>
      </c>
      <c r="I6" s="62"/>
      <c r="J6" s="60"/>
      <c r="K6" s="60" t="str">
        <f t="shared" si="3"/>
        <v/>
      </c>
      <c r="L6" s="60" t="str">
        <f t="shared" si="4"/>
        <v/>
      </c>
      <c r="M6" s="60" t="str">
        <f t="shared" si="5"/>
        <v/>
      </c>
      <c r="N6" s="62"/>
      <c r="O6" s="60"/>
    </row>
    <row r="7" spans="1:15" x14ac:dyDescent="0.3">
      <c r="A7" s="14">
        <v>6</v>
      </c>
      <c r="B7" s="14">
        <f t="shared" si="6"/>
        <v>2</v>
      </c>
      <c r="C7" s="14">
        <f t="shared" si="6"/>
        <v>1</v>
      </c>
      <c r="D7" s="14">
        <f t="shared" si="6"/>
        <v>1</v>
      </c>
      <c r="E7" s="14" t="str">
        <f t="shared" si="0"/>
        <v/>
      </c>
      <c r="F7" s="14" t="str">
        <f t="shared" si="1"/>
        <v/>
      </c>
      <c r="G7" s="14" t="str">
        <f t="shared" si="2"/>
        <v/>
      </c>
      <c r="H7" s="60" t="s">
        <v>90</v>
      </c>
      <c r="I7" s="62"/>
      <c r="J7" s="60"/>
      <c r="K7" s="60" t="str">
        <f t="shared" si="3"/>
        <v/>
      </c>
      <c r="L7" s="60" t="str">
        <f t="shared" si="4"/>
        <v/>
      </c>
      <c r="M7" s="60" t="str">
        <f t="shared" si="5"/>
        <v/>
      </c>
      <c r="N7" s="62"/>
      <c r="O7" s="60"/>
    </row>
    <row r="8" spans="1:15" x14ac:dyDescent="0.3">
      <c r="A8" s="14">
        <v>7</v>
      </c>
      <c r="B8" s="14">
        <f t="shared" si="6"/>
        <v>2</v>
      </c>
      <c r="C8" s="14">
        <f t="shared" si="6"/>
        <v>1</v>
      </c>
      <c r="D8" s="14">
        <f t="shared" si="6"/>
        <v>1</v>
      </c>
      <c r="E8" s="14" t="str">
        <f t="shared" si="0"/>
        <v/>
      </c>
      <c r="F8" s="14" t="str">
        <f t="shared" si="1"/>
        <v/>
      </c>
      <c r="G8" s="14" t="str">
        <f t="shared" si="2"/>
        <v/>
      </c>
      <c r="H8" s="60" t="s">
        <v>90</v>
      </c>
      <c r="I8" s="62"/>
      <c r="J8" s="60"/>
      <c r="K8" s="60" t="str">
        <f t="shared" si="3"/>
        <v/>
      </c>
      <c r="L8" s="60" t="str">
        <f t="shared" si="4"/>
        <v/>
      </c>
      <c r="M8" s="60" t="str">
        <f t="shared" si="5"/>
        <v/>
      </c>
      <c r="N8" s="62"/>
      <c r="O8" s="60"/>
    </row>
    <row r="9" spans="1:15" x14ac:dyDescent="0.3">
      <c r="A9" s="14">
        <v>8</v>
      </c>
      <c r="B9" s="14">
        <f t="shared" si="6"/>
        <v>2</v>
      </c>
      <c r="C9" s="14">
        <f t="shared" si="6"/>
        <v>1</v>
      </c>
      <c r="D9" s="14">
        <f t="shared" si="6"/>
        <v>1</v>
      </c>
      <c r="E9" s="14" t="str">
        <f t="shared" si="0"/>
        <v/>
      </c>
      <c r="F9" s="14" t="str">
        <f t="shared" si="1"/>
        <v/>
      </c>
      <c r="G9" s="14" t="str">
        <f t="shared" si="2"/>
        <v/>
      </c>
      <c r="H9" s="60" t="s">
        <v>90</v>
      </c>
      <c r="I9" s="62"/>
      <c r="J9" s="60"/>
      <c r="K9" s="60" t="str">
        <f t="shared" si="3"/>
        <v/>
      </c>
      <c r="L9" s="60" t="str">
        <f t="shared" si="4"/>
        <v/>
      </c>
      <c r="M9" s="60" t="str">
        <f t="shared" si="5"/>
        <v/>
      </c>
      <c r="N9" s="62"/>
      <c r="O9" s="60"/>
    </row>
    <row r="10" spans="1:15" x14ac:dyDescent="0.3">
      <c r="A10" s="14">
        <v>9</v>
      </c>
      <c r="B10" s="14">
        <f t="shared" si="6"/>
        <v>2</v>
      </c>
      <c r="C10" s="14">
        <f t="shared" si="6"/>
        <v>1</v>
      </c>
      <c r="D10" s="14">
        <f t="shared" si="6"/>
        <v>1</v>
      </c>
      <c r="E10" s="14" t="str">
        <f t="shared" si="0"/>
        <v/>
      </c>
      <c r="F10" s="14" t="str">
        <f t="shared" si="1"/>
        <v/>
      </c>
      <c r="G10" s="14" t="str">
        <f t="shared" si="2"/>
        <v/>
      </c>
      <c r="H10" s="60" t="s">
        <v>90</v>
      </c>
      <c r="I10" s="62"/>
      <c r="J10" s="60"/>
      <c r="K10" s="60" t="str">
        <f t="shared" si="3"/>
        <v/>
      </c>
      <c r="L10" s="60" t="str">
        <f t="shared" si="4"/>
        <v/>
      </c>
      <c r="M10" s="60" t="str">
        <f t="shared" si="5"/>
        <v/>
      </c>
      <c r="N10" s="62"/>
      <c r="O10" s="60"/>
    </row>
    <row r="11" spans="1:15" x14ac:dyDescent="0.3">
      <c r="A11" s="14">
        <v>10</v>
      </c>
      <c r="B11" s="14">
        <f t="shared" si="6"/>
        <v>2</v>
      </c>
      <c r="C11" s="14">
        <f t="shared" si="6"/>
        <v>1</v>
      </c>
      <c r="D11" s="14">
        <f t="shared" si="6"/>
        <v>1</v>
      </c>
      <c r="E11" s="14" t="str">
        <f t="shared" si="0"/>
        <v/>
      </c>
      <c r="F11" s="14" t="str">
        <f t="shared" si="1"/>
        <v/>
      </c>
      <c r="G11" s="14" t="str">
        <f t="shared" si="2"/>
        <v/>
      </c>
      <c r="H11" s="60" t="s">
        <v>90</v>
      </c>
      <c r="I11" s="62"/>
      <c r="J11" s="60"/>
      <c r="K11" s="60" t="str">
        <f t="shared" si="3"/>
        <v/>
      </c>
      <c r="L11" s="60" t="str">
        <f t="shared" si="4"/>
        <v/>
      </c>
      <c r="M11" s="60" t="str">
        <f t="shared" si="5"/>
        <v/>
      </c>
      <c r="N11" s="62"/>
      <c r="O11" s="60"/>
    </row>
    <row r="12" spans="1:15" x14ac:dyDescent="0.3">
      <c r="A12" s="14">
        <v>11</v>
      </c>
      <c r="B12" s="14">
        <f t="shared" si="6"/>
        <v>2</v>
      </c>
      <c r="C12" s="14">
        <f t="shared" si="6"/>
        <v>1</v>
      </c>
      <c r="D12" s="14">
        <f t="shared" si="6"/>
        <v>1</v>
      </c>
      <c r="E12" s="14" t="str">
        <f t="shared" si="0"/>
        <v/>
      </c>
      <c r="F12" s="14" t="str">
        <f t="shared" si="1"/>
        <v/>
      </c>
      <c r="G12" s="14" t="str">
        <f t="shared" si="2"/>
        <v/>
      </c>
      <c r="H12" s="60" t="s">
        <v>90</v>
      </c>
      <c r="I12" s="62"/>
      <c r="J12" s="60"/>
      <c r="K12" s="60" t="str">
        <f t="shared" si="3"/>
        <v/>
      </c>
      <c r="L12" s="60" t="str">
        <f t="shared" si="4"/>
        <v/>
      </c>
      <c r="M12" s="60" t="str">
        <f t="shared" si="5"/>
        <v/>
      </c>
      <c r="N12" s="62"/>
      <c r="O12" s="60"/>
    </row>
    <row r="13" spans="1:15" x14ac:dyDescent="0.3">
      <c r="A13" s="14">
        <v>12</v>
      </c>
      <c r="B13" s="14">
        <f t="shared" si="6"/>
        <v>2</v>
      </c>
      <c r="C13" s="14">
        <f t="shared" si="6"/>
        <v>1</v>
      </c>
      <c r="D13" s="14">
        <f t="shared" si="6"/>
        <v>1</v>
      </c>
      <c r="E13" s="14" t="str">
        <f t="shared" si="0"/>
        <v/>
      </c>
      <c r="F13" s="14" t="str">
        <f t="shared" si="1"/>
        <v/>
      </c>
      <c r="G13" s="14" t="str">
        <f t="shared" si="2"/>
        <v/>
      </c>
      <c r="H13" s="60" t="s">
        <v>90</v>
      </c>
      <c r="I13" s="62"/>
      <c r="J13" s="60"/>
      <c r="K13" s="60" t="str">
        <f t="shared" si="3"/>
        <v/>
      </c>
      <c r="L13" s="60" t="str">
        <f t="shared" si="4"/>
        <v/>
      </c>
      <c r="M13" s="60" t="str">
        <f t="shared" si="5"/>
        <v/>
      </c>
      <c r="N13" s="62"/>
      <c r="O13" s="60"/>
    </row>
    <row r="14" spans="1:15" x14ac:dyDescent="0.3">
      <c r="A14" s="14">
        <v>13</v>
      </c>
      <c r="B14" s="14">
        <f t="shared" si="6"/>
        <v>2</v>
      </c>
      <c r="C14" s="14">
        <f t="shared" si="6"/>
        <v>1</v>
      </c>
      <c r="D14" s="14">
        <f t="shared" si="6"/>
        <v>1</v>
      </c>
      <c r="E14" s="14" t="str">
        <f t="shared" si="0"/>
        <v/>
      </c>
      <c r="F14" s="14" t="str">
        <f t="shared" si="1"/>
        <v/>
      </c>
      <c r="G14" s="14" t="str">
        <f t="shared" si="2"/>
        <v/>
      </c>
      <c r="H14" s="60" t="s">
        <v>90</v>
      </c>
      <c r="I14" s="62"/>
      <c r="J14" s="60"/>
      <c r="K14" s="60" t="str">
        <f t="shared" si="3"/>
        <v/>
      </c>
      <c r="L14" s="60" t="str">
        <f t="shared" si="4"/>
        <v/>
      </c>
      <c r="M14" s="60" t="str">
        <f t="shared" si="5"/>
        <v/>
      </c>
      <c r="N14" s="62"/>
      <c r="O14" s="60"/>
    </row>
    <row r="15" spans="1:15" x14ac:dyDescent="0.3">
      <c r="A15" s="14">
        <v>14</v>
      </c>
      <c r="B15" s="14">
        <f t="shared" si="6"/>
        <v>2</v>
      </c>
      <c r="C15" s="14">
        <f t="shared" si="6"/>
        <v>1</v>
      </c>
      <c r="D15" s="14">
        <f t="shared" si="6"/>
        <v>1</v>
      </c>
      <c r="E15" s="14" t="str">
        <f t="shared" si="0"/>
        <v/>
      </c>
      <c r="F15" s="14" t="str">
        <f t="shared" si="1"/>
        <v/>
      </c>
      <c r="G15" s="14" t="str">
        <f t="shared" si="2"/>
        <v/>
      </c>
      <c r="H15" s="60" t="s">
        <v>90</v>
      </c>
      <c r="I15" s="62"/>
      <c r="J15" s="60"/>
      <c r="K15" s="60" t="str">
        <f t="shared" si="3"/>
        <v/>
      </c>
      <c r="L15" s="60" t="str">
        <f t="shared" si="4"/>
        <v/>
      </c>
      <c r="M15" s="60" t="str">
        <f t="shared" si="5"/>
        <v/>
      </c>
      <c r="N15" s="62"/>
      <c r="O15" s="60"/>
    </row>
    <row r="16" spans="1:15" x14ac:dyDescent="0.3">
      <c r="A16" s="14">
        <v>15</v>
      </c>
      <c r="B16" s="14">
        <f t="shared" si="6"/>
        <v>2</v>
      </c>
      <c r="C16" s="14">
        <f t="shared" si="6"/>
        <v>1</v>
      </c>
      <c r="D16" s="14">
        <f t="shared" si="6"/>
        <v>1</v>
      </c>
      <c r="E16" s="14" t="str">
        <f t="shared" si="0"/>
        <v/>
      </c>
      <c r="F16" s="14" t="str">
        <f t="shared" si="1"/>
        <v/>
      </c>
      <c r="G16" s="14" t="str">
        <f t="shared" si="2"/>
        <v/>
      </c>
      <c r="H16" s="60" t="s">
        <v>90</v>
      </c>
      <c r="I16" s="62"/>
      <c r="J16" s="60"/>
      <c r="K16" s="60" t="str">
        <f t="shared" si="3"/>
        <v/>
      </c>
      <c r="L16" s="60" t="str">
        <f t="shared" si="4"/>
        <v/>
      </c>
      <c r="M16" s="60" t="str">
        <f t="shared" si="5"/>
        <v/>
      </c>
      <c r="N16" s="62"/>
      <c r="O16" s="60"/>
    </row>
    <row r="17" spans="1:15" x14ac:dyDescent="0.3">
      <c r="A17" s="14">
        <v>16</v>
      </c>
      <c r="B17" s="14">
        <f t="shared" si="6"/>
        <v>2</v>
      </c>
      <c r="C17" s="14">
        <f t="shared" si="6"/>
        <v>1</v>
      </c>
      <c r="D17" s="14">
        <f t="shared" si="6"/>
        <v>1</v>
      </c>
      <c r="E17" s="14" t="str">
        <f t="shared" si="0"/>
        <v/>
      </c>
      <c r="F17" s="14" t="str">
        <f t="shared" si="1"/>
        <v/>
      </c>
      <c r="G17" s="14" t="str">
        <f t="shared" si="2"/>
        <v/>
      </c>
      <c r="H17" s="60" t="s">
        <v>90</v>
      </c>
      <c r="I17" s="62"/>
      <c r="J17" s="60"/>
      <c r="K17" s="60" t="str">
        <f t="shared" si="3"/>
        <v/>
      </c>
      <c r="L17" s="60" t="str">
        <f t="shared" si="4"/>
        <v/>
      </c>
      <c r="M17" s="60" t="str">
        <f t="shared" si="5"/>
        <v/>
      </c>
      <c r="N17" s="62"/>
      <c r="O17" s="60"/>
    </row>
    <row r="18" spans="1:15" x14ac:dyDescent="0.3">
      <c r="A18" s="14">
        <v>17</v>
      </c>
      <c r="B18" s="14">
        <f t="shared" si="6"/>
        <v>2</v>
      </c>
      <c r="C18" s="14">
        <f t="shared" si="6"/>
        <v>1</v>
      </c>
      <c r="D18" s="14">
        <f t="shared" si="6"/>
        <v>1</v>
      </c>
      <c r="E18" s="14" t="str">
        <f t="shared" si="0"/>
        <v/>
      </c>
      <c r="F18" s="14" t="str">
        <f t="shared" si="1"/>
        <v/>
      </c>
      <c r="G18" s="14" t="str">
        <f t="shared" si="2"/>
        <v/>
      </c>
      <c r="H18" s="60" t="s">
        <v>90</v>
      </c>
      <c r="I18" s="62"/>
      <c r="J18" s="60"/>
      <c r="K18" s="60" t="str">
        <f t="shared" si="3"/>
        <v/>
      </c>
      <c r="L18" s="60" t="str">
        <f t="shared" si="4"/>
        <v/>
      </c>
      <c r="M18" s="60" t="str">
        <f t="shared" si="5"/>
        <v/>
      </c>
      <c r="N18" s="62"/>
      <c r="O18" s="60"/>
    </row>
    <row r="19" spans="1:15" x14ac:dyDescent="0.3">
      <c r="A19" s="14">
        <v>18</v>
      </c>
      <c r="B19" s="14">
        <f t="shared" ref="B19:D21" si="7">B18</f>
        <v>2</v>
      </c>
      <c r="C19" s="14">
        <f t="shared" si="7"/>
        <v>1</v>
      </c>
      <c r="D19" s="14">
        <f t="shared" si="7"/>
        <v>1</v>
      </c>
      <c r="E19" s="14" t="str">
        <f t="shared" si="0"/>
        <v/>
      </c>
      <c r="F19" s="14" t="str">
        <f t="shared" si="1"/>
        <v/>
      </c>
      <c r="G19" s="14" t="str">
        <f t="shared" si="2"/>
        <v/>
      </c>
      <c r="H19" s="60" t="s">
        <v>90</v>
      </c>
      <c r="I19" s="62"/>
      <c r="J19" s="60"/>
      <c r="K19" s="60" t="str">
        <f t="shared" si="3"/>
        <v/>
      </c>
      <c r="L19" s="60" t="str">
        <f t="shared" si="4"/>
        <v/>
      </c>
      <c r="M19" s="60" t="str">
        <f t="shared" si="5"/>
        <v/>
      </c>
      <c r="N19" s="62"/>
      <c r="O19" s="60"/>
    </row>
    <row r="20" spans="1:15" x14ac:dyDescent="0.3">
      <c r="A20" s="14">
        <v>19</v>
      </c>
      <c r="B20" s="14">
        <f t="shared" si="7"/>
        <v>2</v>
      </c>
      <c r="C20" s="14">
        <f t="shared" si="7"/>
        <v>1</v>
      </c>
      <c r="D20" s="14">
        <f t="shared" si="7"/>
        <v>1</v>
      </c>
      <c r="E20" s="14" t="str">
        <f t="shared" si="0"/>
        <v/>
      </c>
      <c r="F20" s="14" t="str">
        <f t="shared" si="1"/>
        <v/>
      </c>
      <c r="G20" s="14" t="str">
        <f t="shared" si="2"/>
        <v/>
      </c>
      <c r="H20" s="60" t="s">
        <v>90</v>
      </c>
      <c r="I20" s="62"/>
      <c r="J20" s="60"/>
      <c r="K20" s="60" t="str">
        <f t="shared" si="3"/>
        <v/>
      </c>
      <c r="L20" s="60" t="str">
        <f t="shared" si="4"/>
        <v/>
      </c>
      <c r="M20" s="60" t="str">
        <f t="shared" si="5"/>
        <v/>
      </c>
      <c r="N20" s="62"/>
      <c r="O20" s="60"/>
    </row>
    <row r="21" spans="1:15" x14ac:dyDescent="0.3">
      <c r="A21" s="14">
        <v>20</v>
      </c>
      <c r="B21" s="14">
        <f t="shared" si="7"/>
        <v>2</v>
      </c>
      <c r="C21" s="14">
        <f t="shared" si="7"/>
        <v>1</v>
      </c>
      <c r="D21" s="14">
        <f t="shared" si="7"/>
        <v>1</v>
      </c>
      <c r="E21" s="14" t="str">
        <f t="shared" si="0"/>
        <v/>
      </c>
      <c r="F21" s="14" t="str">
        <f t="shared" si="1"/>
        <v/>
      </c>
      <c r="G21" s="14" t="str">
        <f t="shared" si="2"/>
        <v/>
      </c>
      <c r="H21" s="60" t="s">
        <v>90</v>
      </c>
      <c r="I21" s="62"/>
      <c r="J21" s="60"/>
      <c r="K21" s="60" t="str">
        <f t="shared" si="3"/>
        <v/>
      </c>
      <c r="L21" s="60" t="str">
        <f t="shared" si="4"/>
        <v/>
      </c>
      <c r="M21" s="60" t="str">
        <f t="shared" si="5"/>
        <v/>
      </c>
      <c r="N21" s="62"/>
      <c r="O21" s="60"/>
    </row>
    <row r="23" spans="1:15" x14ac:dyDescent="0.3">
      <c r="E23" s="14">
        <f>SUM(E2:E21)</f>
        <v>2705</v>
      </c>
      <c r="F23" s="14">
        <f>SUM(F2:F21)</f>
        <v>2840</v>
      </c>
      <c r="G23" s="14">
        <f>SUM(G2:G21)</f>
        <v>2840</v>
      </c>
      <c r="K23" s="14">
        <f>SUM(K2:K21)</f>
        <v>575</v>
      </c>
      <c r="L23" s="14">
        <f>SUM(L2:L21)</f>
        <v>150</v>
      </c>
      <c r="M23" s="14">
        <f>SUM(M2:M21)</f>
        <v>150</v>
      </c>
    </row>
  </sheetData>
  <hyperlinks>
    <hyperlink ref="J2" r:id="rId1" xr:uid="{15240C1A-649B-426A-B3EF-76F65D8393B9}"/>
    <hyperlink ref="J3" r:id="rId2" xr:uid="{2D5E0063-0424-4E89-85C0-A755266BB12D}"/>
    <hyperlink ref="J4" r:id="rId3" xr:uid="{4FEAB249-D680-48CD-AABA-C7319ACBCC6E}"/>
    <hyperlink ref="J5" r:id="rId4" xr:uid="{4090A7D0-F8F0-42CB-B4F7-C2C818361038}"/>
    <hyperlink ref="O3:O4" r:id="rId5" display="https://electroheatinduction.com/how-to-calculate-electricity-cost-for-melting-metal-in-induction-melting-furnace/" xr:uid="{CE5E7671-6ADC-499E-BA09-6E76B2AA2F1F}"/>
    <hyperlink ref="O5" r:id="rId6" location=":~:text=A%20kilogram%20of%20a%20semi-crystalline%20resin%2C%20such%20as,vs.%20342%29%2C%20yet%20their%20processing%20temperatures%20are%20similar." xr:uid="{C2837204-72CD-4C4E-9AA1-5C7315E4CA6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9C61-A84C-4E5B-95D9-343983B2C9FD}">
  <dimension ref="A2:K74"/>
  <sheetViews>
    <sheetView showGridLines="0" workbookViewId="0">
      <selection activeCell="D4" sqref="D4:F4"/>
    </sheetView>
  </sheetViews>
  <sheetFormatPr defaultColWidth="9.109375" defaultRowHeight="14.4" x14ac:dyDescent="0.3"/>
  <cols>
    <col min="1" max="1" width="40.5546875" style="2" bestFit="1" customWidth="1"/>
    <col min="2" max="2" width="6.6640625" style="2" hidden="1" customWidth="1"/>
    <col min="3" max="3" width="9.109375" style="5" bestFit="1" customWidth="1"/>
    <col min="4" max="6" width="18.5546875" style="4" customWidth="1"/>
    <col min="7" max="7" width="6.44140625" style="3" customWidth="1"/>
    <col min="8" max="8" width="62.33203125" style="2" customWidth="1"/>
    <col min="9" max="9" width="49.6640625" style="2" customWidth="1"/>
    <col min="10" max="10" width="9.109375" style="1"/>
    <col min="11" max="11" width="13.88671875" style="1" bestFit="1" customWidth="1"/>
    <col min="12" max="12" width="17.33203125" style="1" bestFit="1" customWidth="1"/>
    <col min="13" max="16384" width="9.109375" style="1"/>
  </cols>
  <sheetData>
    <row r="2" spans="1:9" ht="21" x14ac:dyDescent="0.3">
      <c r="A2" s="70" t="s">
        <v>89</v>
      </c>
      <c r="B2" s="10"/>
      <c r="H2" s="7"/>
    </row>
    <row r="3" spans="1:9" ht="18" x14ac:dyDescent="0.3">
      <c r="A3" s="10"/>
      <c r="B3" s="10"/>
      <c r="H3" s="7"/>
    </row>
    <row r="4" spans="1:9" x14ac:dyDescent="0.3">
      <c r="A4" s="44"/>
      <c r="B4" s="25"/>
      <c r="C4" s="52" t="s">
        <v>88</v>
      </c>
      <c r="D4" s="80" t="s">
        <v>199</v>
      </c>
      <c r="E4" s="80" t="s">
        <v>200</v>
      </c>
      <c r="F4" s="80" t="s">
        <v>201</v>
      </c>
      <c r="G4" s="81" t="s">
        <v>84</v>
      </c>
      <c r="H4" s="45" t="s">
        <v>111</v>
      </c>
      <c r="I4" s="45" t="s">
        <v>104</v>
      </c>
    </row>
    <row r="5" spans="1:9" ht="28.8" x14ac:dyDescent="0.3">
      <c r="A5" s="75" t="s">
        <v>82</v>
      </c>
      <c r="B5" s="75" t="s">
        <v>81</v>
      </c>
      <c r="C5" s="76" t="s">
        <v>0</v>
      </c>
      <c r="D5" s="77">
        <v>1000</v>
      </c>
      <c r="E5" s="77">
        <v>1000</v>
      </c>
      <c r="F5" s="77">
        <v>1000</v>
      </c>
      <c r="G5" s="78">
        <v>73</v>
      </c>
      <c r="H5" s="79" t="s">
        <v>106</v>
      </c>
      <c r="I5" s="79" t="s">
        <v>105</v>
      </c>
    </row>
    <row r="6" spans="1:9" ht="28.8" x14ac:dyDescent="0.3">
      <c r="A6" s="44" t="s">
        <v>80</v>
      </c>
      <c r="B6" s="44" t="s">
        <v>79</v>
      </c>
      <c r="C6" s="46" t="s">
        <v>0</v>
      </c>
      <c r="D6" s="27">
        <v>100</v>
      </c>
      <c r="E6" s="27">
        <v>100</v>
      </c>
      <c r="F6" s="27">
        <v>100</v>
      </c>
      <c r="G6" s="24"/>
      <c r="H6" s="25" t="s">
        <v>78</v>
      </c>
      <c r="I6" s="25"/>
    </row>
    <row r="7" spans="1:9" x14ac:dyDescent="0.3">
      <c r="A7" s="44" t="s">
        <v>77</v>
      </c>
      <c r="B7" s="44" t="s">
        <v>76</v>
      </c>
      <c r="C7" s="46" t="s">
        <v>0</v>
      </c>
      <c r="D7" s="27">
        <f>SUM(D5-(2*D6))</f>
        <v>800</v>
      </c>
      <c r="E7" s="27">
        <f>SUM(E5-(2*E6))</f>
        <v>800</v>
      </c>
      <c r="F7" s="27">
        <f>SUM(F5-(2*F6))</f>
        <v>800</v>
      </c>
      <c r="G7" s="47"/>
      <c r="H7" s="25"/>
      <c r="I7" s="25"/>
    </row>
    <row r="8" spans="1:9" x14ac:dyDescent="0.3">
      <c r="A8" s="44" t="s">
        <v>75</v>
      </c>
      <c r="B8" s="44" t="s">
        <v>74</v>
      </c>
      <c r="C8" s="46" t="s">
        <v>0</v>
      </c>
      <c r="D8" s="48">
        <v>0.5</v>
      </c>
      <c r="E8" s="48">
        <v>0.5</v>
      </c>
      <c r="F8" s="48">
        <v>0.5</v>
      </c>
      <c r="G8" s="47"/>
      <c r="H8" s="25"/>
      <c r="I8" s="25"/>
    </row>
    <row r="9" spans="1:9" x14ac:dyDescent="0.3">
      <c r="A9" s="44" t="s">
        <v>122</v>
      </c>
      <c r="B9" s="44"/>
      <c r="C9" s="46" t="s">
        <v>3</v>
      </c>
      <c r="D9" s="92">
        <f t="shared" ref="D9:F9" si="0">SUM(3.1416/4*((D5*D5)-((D5-(2*D8))*(D5-(2*D8)))))</f>
        <v>1570.0146</v>
      </c>
      <c r="E9" s="92">
        <f t="shared" si="0"/>
        <v>1570.0146</v>
      </c>
      <c r="F9" s="92">
        <f t="shared" si="0"/>
        <v>1570.0146</v>
      </c>
      <c r="G9" s="47"/>
      <c r="H9" s="25" t="s">
        <v>127</v>
      </c>
      <c r="I9" s="25"/>
    </row>
    <row r="10" spans="1:9" ht="28.8" x14ac:dyDescent="0.3">
      <c r="A10" s="44" t="s">
        <v>153</v>
      </c>
      <c r="B10" s="44"/>
      <c r="C10" s="46" t="s">
        <v>3</v>
      </c>
      <c r="D10" s="92">
        <f>(D5-(D8*2))*D8</f>
        <v>499.5</v>
      </c>
      <c r="E10" s="92">
        <f t="shared" ref="E10:F10" si="1">(E5-(E8*2))*E8</f>
        <v>499.5</v>
      </c>
      <c r="F10" s="92">
        <f t="shared" si="1"/>
        <v>499.5</v>
      </c>
      <c r="G10" s="47"/>
      <c r="H10" s="25" t="s">
        <v>128</v>
      </c>
      <c r="I10" s="25"/>
    </row>
    <row r="11" spans="1:9" ht="28.8" x14ac:dyDescent="0.3">
      <c r="A11" s="44" t="s">
        <v>134</v>
      </c>
      <c r="B11" s="44"/>
      <c r="C11" s="46" t="s">
        <v>9</v>
      </c>
      <c r="D11" s="23">
        <v>2</v>
      </c>
      <c r="E11" s="23">
        <v>2</v>
      </c>
      <c r="F11" s="23">
        <v>2</v>
      </c>
      <c r="G11" s="47"/>
      <c r="H11" s="25" t="s">
        <v>135</v>
      </c>
      <c r="I11" s="25"/>
    </row>
    <row r="12" spans="1:9" ht="28.8" x14ac:dyDescent="0.3">
      <c r="A12" s="44" t="s">
        <v>136</v>
      </c>
      <c r="B12" s="44"/>
      <c r="C12" s="46" t="s">
        <v>3</v>
      </c>
      <c r="D12" s="83">
        <f>D9+D10+(D10*D11)</f>
        <v>3068.5146</v>
      </c>
      <c r="E12" s="83">
        <f t="shared" ref="E12:F12" si="2">E9+E10+(E10*E11)</f>
        <v>3068.5146</v>
      </c>
      <c r="F12" s="83">
        <f t="shared" si="2"/>
        <v>3068.5146</v>
      </c>
      <c r="G12" s="47"/>
      <c r="H12" s="25" t="s">
        <v>143</v>
      </c>
      <c r="I12" s="25"/>
    </row>
    <row r="13" spans="1:9" x14ac:dyDescent="0.3">
      <c r="A13" s="44" t="s">
        <v>73</v>
      </c>
      <c r="B13" s="44" t="s">
        <v>72</v>
      </c>
      <c r="C13" s="46" t="s">
        <v>58</v>
      </c>
      <c r="D13" s="28">
        <f>SUM(3.1416*3.1416)*(D5/2+D7/2)*(D5/2-D7/2)*(D5/2-D7/2)/4</f>
        <v>22206713.760000002</v>
      </c>
      <c r="E13" s="28">
        <f>SUM(3.1416*3.1416)*(E5/2+E7/2)*(E5/2-E7/2)*(E5/2-E7/2)/4</f>
        <v>22206713.760000002</v>
      </c>
      <c r="F13" s="28">
        <f>SUM(3.1416*3.1416)*(F5/2+F7/2)*(F5/2-F7/2)*(F5/2-F7/2)/4</f>
        <v>22206713.760000002</v>
      </c>
      <c r="G13" s="24"/>
      <c r="H13" s="25"/>
      <c r="I13" s="25"/>
    </row>
    <row r="14" spans="1:9" x14ac:dyDescent="0.3">
      <c r="A14" s="44" t="s">
        <v>71</v>
      </c>
      <c r="B14" s="44"/>
      <c r="C14" s="46" t="s">
        <v>0</v>
      </c>
      <c r="D14" s="49">
        <f>D5-(D8*2)</f>
        <v>999</v>
      </c>
      <c r="E14" s="49">
        <f>E5-(E8*2)</f>
        <v>999</v>
      </c>
      <c r="F14" s="49">
        <f>F5-(F8*2)</f>
        <v>999</v>
      </c>
      <c r="G14" s="24"/>
      <c r="H14" s="25"/>
      <c r="I14" s="25"/>
    </row>
    <row r="15" spans="1:9" x14ac:dyDescent="0.3">
      <c r="A15" s="44" t="s">
        <v>70</v>
      </c>
      <c r="B15" s="44"/>
      <c r="C15" s="46" t="s">
        <v>0</v>
      </c>
      <c r="D15" s="49">
        <f>D7+(D8*2)</f>
        <v>801</v>
      </c>
      <c r="E15" s="49">
        <f>E7+(E8*2)</f>
        <v>801</v>
      </c>
      <c r="F15" s="49">
        <f>F7+(F8*2)</f>
        <v>801</v>
      </c>
      <c r="G15" s="24"/>
      <c r="H15" s="25"/>
      <c r="I15" s="25"/>
    </row>
    <row r="16" spans="1:9" x14ac:dyDescent="0.3">
      <c r="A16" s="44" t="s">
        <v>69</v>
      </c>
      <c r="B16" s="44"/>
      <c r="C16" s="46" t="s">
        <v>58</v>
      </c>
      <c r="D16" s="28">
        <f>SUM(3.1416*3.1416)*(D14/2+D15/2)*(D14/2-D15/2)*(D14/2-D15/2)/4</f>
        <v>21764800.156176005</v>
      </c>
      <c r="E16" s="28">
        <f t="shared" ref="E16:F16" si="3">SUM(3.1416*3.1416)*(E14/2+E15/2)*(E14/2-E15/2)*(E14/2-E15/2)/4</f>
        <v>21764800.156176005</v>
      </c>
      <c r="F16" s="28">
        <f t="shared" si="3"/>
        <v>21764800.156176005</v>
      </c>
      <c r="G16" s="50"/>
      <c r="H16" s="25" t="s">
        <v>68</v>
      </c>
      <c r="I16" s="25"/>
    </row>
    <row r="17" spans="1:9" x14ac:dyDescent="0.3">
      <c r="A17" s="44" t="s">
        <v>67</v>
      </c>
      <c r="B17" s="45"/>
      <c r="C17" s="46" t="s">
        <v>58</v>
      </c>
      <c r="D17" s="28">
        <f>SUM(D13-D16)</f>
        <v>441913.60382399708</v>
      </c>
      <c r="E17" s="28">
        <f t="shared" ref="E17:F17" si="4">SUM(E13-E16)</f>
        <v>441913.60382399708</v>
      </c>
      <c r="F17" s="28">
        <f t="shared" si="4"/>
        <v>441913.60382399708</v>
      </c>
      <c r="G17" s="24"/>
      <c r="H17" s="25"/>
      <c r="I17" s="25"/>
    </row>
    <row r="18" spans="1:9" ht="28.8" x14ac:dyDescent="0.3">
      <c r="A18" s="44" t="s">
        <v>66</v>
      </c>
      <c r="B18" s="44"/>
      <c r="C18" s="46" t="s">
        <v>58</v>
      </c>
      <c r="D18" s="28">
        <f>(3.1416*D8*D14*(D6-2*D8))</f>
        <v>155353.69080000001</v>
      </c>
      <c r="E18" s="28">
        <f>(3.1416*E8*E14*(E6-2*E8))</f>
        <v>155353.69080000001</v>
      </c>
      <c r="F18" s="28">
        <f>(3.1416*F8*F14*(F6-2*F8))</f>
        <v>155353.69080000001</v>
      </c>
      <c r="G18" s="24"/>
      <c r="H18" s="25" t="s">
        <v>65</v>
      </c>
      <c r="I18" s="25"/>
    </row>
    <row r="19" spans="1:9" x14ac:dyDescent="0.3">
      <c r="A19" s="44" t="s">
        <v>63</v>
      </c>
      <c r="B19" s="45"/>
      <c r="C19" s="46" t="s">
        <v>58</v>
      </c>
      <c r="D19" s="28">
        <f>SUM(D11*D18)+D18</f>
        <v>466061.07240000006</v>
      </c>
      <c r="E19" s="28">
        <f t="shared" ref="E19:F19" si="5">SUM(E11*E18)+E18</f>
        <v>466061.07240000006</v>
      </c>
      <c r="F19" s="28">
        <f t="shared" si="5"/>
        <v>466061.07240000006</v>
      </c>
      <c r="G19" s="24"/>
      <c r="H19" s="25"/>
      <c r="I19" s="25"/>
    </row>
    <row r="20" spans="1:9" x14ac:dyDescent="0.3">
      <c r="A20" s="45" t="s">
        <v>62</v>
      </c>
      <c r="B20" s="45"/>
      <c r="C20" s="52" t="s">
        <v>58</v>
      </c>
      <c r="D20" s="26">
        <f>D16-D19</f>
        <v>21298739.083776005</v>
      </c>
      <c r="E20" s="26">
        <f t="shared" ref="E20:F20" si="6">E16-E19</f>
        <v>21298739.083776005</v>
      </c>
      <c r="F20" s="26">
        <f t="shared" si="6"/>
        <v>21298739.083776005</v>
      </c>
      <c r="G20" s="69">
        <v>932</v>
      </c>
      <c r="H20" s="25"/>
      <c r="I20" s="25" t="s">
        <v>49</v>
      </c>
    </row>
    <row r="21" spans="1:9" x14ac:dyDescent="0.3">
      <c r="A21" s="45" t="s">
        <v>61</v>
      </c>
      <c r="B21" s="45"/>
      <c r="C21" s="52" t="s">
        <v>58</v>
      </c>
      <c r="D21" s="26">
        <f>D17+D19</f>
        <v>907974.67622399714</v>
      </c>
      <c r="E21" s="26">
        <f>E17+E19</f>
        <v>907974.67622399714</v>
      </c>
      <c r="F21" s="26">
        <f>F17+F19</f>
        <v>907974.67622399714</v>
      </c>
      <c r="G21" s="24"/>
      <c r="H21" s="25"/>
      <c r="I21" s="25"/>
    </row>
    <row r="22" spans="1:9" x14ac:dyDescent="0.3">
      <c r="A22" s="44" t="s">
        <v>60</v>
      </c>
      <c r="B22" s="44"/>
      <c r="C22" s="46"/>
      <c r="D22" s="88">
        <v>5000</v>
      </c>
      <c r="E22" s="88">
        <v>10000</v>
      </c>
      <c r="F22" s="88">
        <v>20000</v>
      </c>
      <c r="G22" s="69">
        <v>6</v>
      </c>
      <c r="H22" s="25"/>
      <c r="I22" s="25"/>
    </row>
    <row r="23" spans="1:9" x14ac:dyDescent="0.3">
      <c r="A23" s="45" t="s">
        <v>154</v>
      </c>
      <c r="B23" s="45"/>
      <c r="C23" s="52" t="s">
        <v>3</v>
      </c>
      <c r="D23" s="26">
        <f>3.1416*2*(D5-D7)*D6</f>
        <v>125663.99999999999</v>
      </c>
      <c r="E23" s="26">
        <f t="shared" ref="E23:F23" si="7">3.1416*2*(E5-E7)*E6</f>
        <v>125663.99999999999</v>
      </c>
      <c r="F23" s="26">
        <f t="shared" si="7"/>
        <v>125663.99999999999</v>
      </c>
      <c r="G23" s="69"/>
      <c r="H23" s="25"/>
      <c r="I23" s="25"/>
    </row>
    <row r="24" spans="1:9" x14ac:dyDescent="0.3">
      <c r="A24" s="45" t="s">
        <v>59</v>
      </c>
      <c r="B24" s="45"/>
      <c r="C24" s="52" t="s">
        <v>58</v>
      </c>
      <c r="D24" s="26">
        <f>D20/D22/2</f>
        <v>2129.8739083776004</v>
      </c>
      <c r="E24" s="26">
        <f t="shared" ref="E24:F24" si="8">E20/E22/2</f>
        <v>1064.9369541888002</v>
      </c>
      <c r="F24" s="26">
        <f t="shared" si="8"/>
        <v>532.4684770944001</v>
      </c>
      <c r="G24" s="69">
        <f>SUM(G20/G22)</f>
        <v>155.33333333333334</v>
      </c>
      <c r="H24" s="25" t="s">
        <v>155</v>
      </c>
      <c r="I24" s="25"/>
    </row>
    <row r="25" spans="1:9" ht="28.8" x14ac:dyDescent="0.3">
      <c r="A25" s="45" t="s">
        <v>137</v>
      </c>
      <c r="B25" s="45"/>
      <c r="C25" s="52" t="s">
        <v>3</v>
      </c>
      <c r="D25" s="26">
        <f>D24/2.5</f>
        <v>851.94956335104018</v>
      </c>
      <c r="E25" s="26">
        <f t="shared" ref="E25:F25" si="9">E24/2.5</f>
        <v>425.97478167552009</v>
      </c>
      <c r="F25" s="26">
        <f t="shared" si="9"/>
        <v>212.98739083776005</v>
      </c>
      <c r="G25" s="24"/>
      <c r="H25" s="25" t="s">
        <v>156</v>
      </c>
      <c r="I25" s="25"/>
    </row>
    <row r="26" spans="1:9" x14ac:dyDescent="0.3">
      <c r="A26" s="45" t="s">
        <v>157</v>
      </c>
      <c r="B26" s="45"/>
      <c r="C26" s="52" t="s">
        <v>158</v>
      </c>
      <c r="D26" s="26">
        <f>SUM(D22*62)/1000</f>
        <v>310</v>
      </c>
      <c r="E26" s="26">
        <f t="shared" ref="E26:F26" si="10">SUM(E22*62)/1000</f>
        <v>620</v>
      </c>
      <c r="F26" s="26">
        <f t="shared" si="10"/>
        <v>1240</v>
      </c>
      <c r="G26" s="24"/>
      <c r="H26" s="25" t="s">
        <v>160</v>
      </c>
      <c r="I26" s="25" t="s">
        <v>159</v>
      </c>
    </row>
    <row r="27" spans="1:9" x14ac:dyDescent="0.3">
      <c r="D27" s="85"/>
    </row>
    <row r="28" spans="1:9" ht="21" x14ac:dyDescent="0.3">
      <c r="A28" s="70" t="s">
        <v>45</v>
      </c>
      <c r="B28" s="10"/>
    </row>
    <row r="30" spans="1:9" ht="43.2" x14ac:dyDescent="0.3">
      <c r="A30" s="44" t="s">
        <v>44</v>
      </c>
      <c r="B30" s="44"/>
      <c r="C30" s="46" t="s">
        <v>43</v>
      </c>
      <c r="D30" s="36">
        <v>0.5</v>
      </c>
      <c r="E30" s="36">
        <v>0.5</v>
      </c>
      <c r="F30" s="36">
        <v>1</v>
      </c>
      <c r="G30" s="24"/>
      <c r="H30" s="25" t="s">
        <v>144</v>
      </c>
      <c r="I30" s="25"/>
    </row>
    <row r="31" spans="1:9" x14ac:dyDescent="0.3">
      <c r="A31" s="44" t="s">
        <v>41</v>
      </c>
      <c r="B31" s="44"/>
      <c r="C31" s="46" t="s">
        <v>38</v>
      </c>
      <c r="D31" s="27">
        <v>4</v>
      </c>
      <c r="E31" s="27">
        <v>100</v>
      </c>
      <c r="F31" s="27">
        <v>100</v>
      </c>
      <c r="G31" s="24"/>
      <c r="H31" s="25"/>
      <c r="I31" s="25"/>
    </row>
    <row r="32" spans="1:9" x14ac:dyDescent="0.3">
      <c r="A32" s="44" t="s">
        <v>39</v>
      </c>
      <c r="B32" s="44"/>
      <c r="C32" s="46" t="s">
        <v>38</v>
      </c>
      <c r="D32" s="27">
        <v>2</v>
      </c>
      <c r="E32" s="27">
        <v>20</v>
      </c>
      <c r="F32" s="27">
        <v>20</v>
      </c>
      <c r="G32" s="24"/>
      <c r="H32" s="25"/>
      <c r="I32" s="25"/>
    </row>
    <row r="33" spans="1:9" x14ac:dyDescent="0.3">
      <c r="A33" s="44" t="s">
        <v>37</v>
      </c>
      <c r="B33" s="44"/>
      <c r="C33" s="46" t="s">
        <v>36</v>
      </c>
      <c r="D33" s="28">
        <f>SUM(D31*D30*D32)</f>
        <v>4</v>
      </c>
      <c r="E33" s="28">
        <f t="shared" ref="E33:F33" si="11">SUM(E31*E30*E32)</f>
        <v>1000</v>
      </c>
      <c r="F33" s="28">
        <f t="shared" si="11"/>
        <v>2000</v>
      </c>
      <c r="G33" s="24"/>
      <c r="H33" s="25" t="s">
        <v>119</v>
      </c>
      <c r="I33" s="25"/>
    </row>
    <row r="34" spans="1:9" x14ac:dyDescent="0.3">
      <c r="A34" s="44" t="s">
        <v>35</v>
      </c>
      <c r="B34" s="44"/>
      <c r="C34" s="46" t="s">
        <v>34</v>
      </c>
      <c r="D34" s="29">
        <f>D30*60/(3.1416*D5)</f>
        <v>9.5492742551566076E-3</v>
      </c>
      <c r="E34" s="29">
        <f>E30*60/(3.1416*E5)</f>
        <v>9.5492742551566076E-3</v>
      </c>
      <c r="F34" s="29">
        <f>F30*60/(3.1416*F5)</f>
        <v>1.9098548510313215E-2</v>
      </c>
      <c r="G34" s="30"/>
      <c r="H34" s="25" t="s">
        <v>33</v>
      </c>
      <c r="I34" s="25"/>
    </row>
    <row r="35" spans="1:9" x14ac:dyDescent="0.3">
      <c r="A35" s="44" t="s">
        <v>32</v>
      </c>
      <c r="B35" s="44"/>
      <c r="C35" s="46"/>
      <c r="D35" s="31">
        <f>D34*D34*1.118*0.001*(D5/2)</f>
        <v>5.0974449089310007E-5</v>
      </c>
      <c r="E35" s="31">
        <f>E34*E34*1.118*0.001*(E5/2)</f>
        <v>5.0974449089310007E-5</v>
      </c>
      <c r="F35" s="31">
        <f>F34*F34*1.118*0.001*(F5/2)</f>
        <v>2.0389779635724003E-4</v>
      </c>
      <c r="G35" s="30"/>
      <c r="H35" s="25" t="s">
        <v>139</v>
      </c>
      <c r="I35" s="25"/>
    </row>
    <row r="36" spans="1:9" ht="28.8" x14ac:dyDescent="0.3">
      <c r="A36" s="44" t="s">
        <v>130</v>
      </c>
      <c r="B36" s="44"/>
      <c r="C36" s="46"/>
      <c r="D36" s="32">
        <v>2000</v>
      </c>
      <c r="E36" s="32">
        <v>16</v>
      </c>
      <c r="F36" s="32">
        <v>16</v>
      </c>
      <c r="G36" s="24"/>
      <c r="H36" s="25" t="s">
        <v>30</v>
      </c>
      <c r="I36" s="25"/>
    </row>
    <row r="37" spans="1:9" x14ac:dyDescent="0.3">
      <c r="A37" s="44" t="s">
        <v>29</v>
      </c>
      <c r="B37" s="44"/>
      <c r="C37" s="46" t="s">
        <v>27</v>
      </c>
      <c r="D37" s="82">
        <f>D38/D36</f>
        <v>1.082E-2</v>
      </c>
      <c r="E37" s="82">
        <f t="shared" ref="E37:F37" si="12">E38/E36</f>
        <v>2.84</v>
      </c>
      <c r="F37" s="82">
        <f t="shared" si="12"/>
        <v>5.68</v>
      </c>
      <c r="G37" s="24"/>
      <c r="H37" s="25"/>
      <c r="I37" s="25"/>
    </row>
    <row r="38" spans="1:9" x14ac:dyDescent="0.3">
      <c r="A38" s="44" t="s">
        <v>28</v>
      </c>
      <c r="B38" s="44"/>
      <c r="C38" s="46" t="s">
        <v>27</v>
      </c>
      <c r="D38" s="82">
        <f>SUM(D33*D47*D36)/1000000</f>
        <v>21.64</v>
      </c>
      <c r="E38" s="82">
        <f>SUM(E33*E47*E36)/1000000</f>
        <v>45.44</v>
      </c>
      <c r="F38" s="82">
        <f>SUM(F33*F47*F36)/1000000</f>
        <v>90.88</v>
      </c>
      <c r="G38" s="30"/>
      <c r="H38" s="25" t="s">
        <v>140</v>
      </c>
      <c r="I38" s="25"/>
    </row>
    <row r="39" spans="1:9" x14ac:dyDescent="0.3">
      <c r="A39" s="44" t="s">
        <v>26</v>
      </c>
      <c r="B39" s="44"/>
      <c r="C39" s="46" t="s">
        <v>9</v>
      </c>
      <c r="D39" s="23">
        <v>0.9</v>
      </c>
      <c r="E39" s="23">
        <v>0.9</v>
      </c>
      <c r="F39" s="23">
        <v>0.9</v>
      </c>
      <c r="G39" s="30"/>
      <c r="H39" s="25" t="s">
        <v>25</v>
      </c>
      <c r="I39" s="25"/>
    </row>
    <row r="40" spans="1:9" ht="28.8" x14ac:dyDescent="0.3">
      <c r="A40" s="45" t="s">
        <v>120</v>
      </c>
      <c r="B40" s="45"/>
      <c r="C40" s="90" t="s">
        <v>121</v>
      </c>
      <c r="D40" s="107">
        <f>D12/(D31*D32*D36/1000000)/1000000</f>
        <v>0.19178216250000002</v>
      </c>
      <c r="E40" s="107">
        <f t="shared" ref="E40:F40" si="13">E12/(E31*E32*E36/1000000)/1000000</f>
        <v>9.589108125000001E-2</v>
      </c>
      <c r="F40" s="107">
        <f t="shared" si="13"/>
        <v>9.589108125000001E-2</v>
      </c>
      <c r="G40" s="30"/>
      <c r="H40" s="25" t="s">
        <v>141</v>
      </c>
      <c r="I40" s="25"/>
    </row>
    <row r="41" spans="1:9" x14ac:dyDescent="0.3">
      <c r="A41" s="44" t="s">
        <v>23</v>
      </c>
      <c r="B41" s="44"/>
      <c r="C41" s="46" t="s">
        <v>24</v>
      </c>
      <c r="D41" s="28">
        <f>((D40*1000000)/D34)/60/24/D39</f>
        <v>15496.472266203702</v>
      </c>
      <c r="E41" s="28">
        <f t="shared" ref="E41:F41" si="14">((E40*1000)/E34)/60/24/E39*1000</f>
        <v>7748.2361331018537</v>
      </c>
      <c r="F41" s="28">
        <f t="shared" si="14"/>
        <v>3874.1180665509269</v>
      </c>
      <c r="G41" s="30"/>
      <c r="H41" s="1" t="s">
        <v>142</v>
      </c>
      <c r="I41" s="25"/>
    </row>
    <row r="42" spans="1:9" x14ac:dyDescent="0.3">
      <c r="A42" s="45" t="s">
        <v>23</v>
      </c>
      <c r="B42" s="45"/>
      <c r="C42" s="52" t="s">
        <v>22</v>
      </c>
      <c r="D42" s="37">
        <f>SUM(D41)/365</f>
        <v>42.456088400558087</v>
      </c>
      <c r="E42" s="37">
        <f t="shared" ref="E42:F42" si="15">SUM(E41)/365</f>
        <v>21.228044200279051</v>
      </c>
      <c r="F42" s="37">
        <f t="shared" si="15"/>
        <v>10.614022100139525</v>
      </c>
      <c r="G42" s="30"/>
      <c r="H42" s="25"/>
      <c r="I42" s="25"/>
    </row>
    <row r="43" spans="1:9" x14ac:dyDescent="0.3">
      <c r="A43" s="86"/>
      <c r="B43" s="86"/>
      <c r="C43" s="86"/>
      <c r="D43" s="86"/>
      <c r="E43" s="86"/>
      <c r="F43" s="86"/>
      <c r="G43" s="86"/>
    </row>
    <row r="44" spans="1:9" ht="21" x14ac:dyDescent="0.3">
      <c r="A44" s="70" t="s">
        <v>124</v>
      </c>
      <c r="B44" s="10"/>
    </row>
    <row r="46" spans="1:9" x14ac:dyDescent="0.3">
      <c r="A46" s="44" t="s">
        <v>56</v>
      </c>
      <c r="B46" s="44"/>
      <c r="C46" s="46"/>
      <c r="D46" s="27"/>
      <c r="E46" s="27"/>
      <c r="F46" s="27"/>
      <c r="G46" s="24"/>
      <c r="H46" s="25"/>
      <c r="I46" s="25"/>
    </row>
    <row r="47" spans="1:9" x14ac:dyDescent="0.3">
      <c r="A47" s="44" t="s">
        <v>55</v>
      </c>
      <c r="B47" s="44"/>
      <c r="C47" s="46" t="s">
        <v>54</v>
      </c>
      <c r="D47" s="71">
        <f>'Materials Table 1km'!E23</f>
        <v>2705</v>
      </c>
      <c r="E47" s="71">
        <f>'Materials Table 1km'!F23</f>
        <v>2840</v>
      </c>
      <c r="F47" s="71">
        <f>'Materials Table 1km'!G23</f>
        <v>2840</v>
      </c>
      <c r="G47" s="24"/>
      <c r="H47" s="25" t="s">
        <v>53</v>
      </c>
      <c r="I47" s="25"/>
    </row>
    <row r="48" spans="1:9" x14ac:dyDescent="0.3">
      <c r="A48" s="44" t="s">
        <v>52</v>
      </c>
      <c r="B48" s="44"/>
      <c r="C48" s="46" t="s">
        <v>9</v>
      </c>
      <c r="D48" s="23">
        <v>0.5</v>
      </c>
      <c r="E48" s="23">
        <v>0.8</v>
      </c>
      <c r="F48" s="23">
        <v>0.5</v>
      </c>
      <c r="G48" s="24"/>
      <c r="H48" s="25"/>
      <c r="I48" s="25"/>
    </row>
    <row r="49" spans="1:11" x14ac:dyDescent="0.3">
      <c r="A49" s="45" t="s">
        <v>51</v>
      </c>
      <c r="B49" s="45"/>
      <c r="C49" s="52" t="s">
        <v>170</v>
      </c>
      <c r="D49" s="26">
        <f>SUM(D21)*D47/1000*D48</f>
        <v>1228035.7495929562</v>
      </c>
      <c r="E49" s="26">
        <f>SUM(E21)*E47/1000*E48</f>
        <v>2062918.4643809216</v>
      </c>
      <c r="F49" s="26">
        <f>SUM(F21)*F47/1000*F48</f>
        <v>1289324.0402380759</v>
      </c>
      <c r="G49" s="69">
        <v>420</v>
      </c>
      <c r="H49" s="25"/>
      <c r="I49" s="25" t="s">
        <v>49</v>
      </c>
    </row>
    <row r="50" spans="1:11" ht="57.6" x14ac:dyDescent="0.3">
      <c r="A50" s="45" t="s">
        <v>152</v>
      </c>
      <c r="B50" s="45"/>
      <c r="C50" s="52"/>
      <c r="D50" s="91">
        <f>D49/POWER(7.33,22)</f>
        <v>1.1400491305667466E-13</v>
      </c>
      <c r="E50" s="91">
        <f t="shared" ref="E50:F50" si="16">E49/POWER(7.33,22)</f>
        <v>1.9151139553771891E-13</v>
      </c>
      <c r="F50" s="91">
        <f t="shared" si="16"/>
        <v>1.1969462221107429E-13</v>
      </c>
      <c r="G50" s="24"/>
      <c r="H50" s="25" t="s">
        <v>161</v>
      </c>
      <c r="I50" s="65" t="s">
        <v>151</v>
      </c>
    </row>
    <row r="51" spans="1:11" ht="43.2" x14ac:dyDescent="0.3">
      <c r="A51" s="45" t="s">
        <v>115</v>
      </c>
      <c r="B51" s="45"/>
      <c r="C51" s="52" t="s">
        <v>173</v>
      </c>
      <c r="D51" s="66">
        <f>D49/D41</f>
        <v>79.246148961991992</v>
      </c>
      <c r="E51" s="66">
        <f>E49/E41</f>
        <v>266.24362357359814</v>
      </c>
      <c r="F51" s="66">
        <f>F49/F41</f>
        <v>332.80452946699762</v>
      </c>
      <c r="G51" s="24"/>
      <c r="H51" s="25" t="s">
        <v>197</v>
      </c>
      <c r="I51" s="65" t="s">
        <v>196</v>
      </c>
      <c r="K51" s="1">
        <f>3.1416*15*7.9*7.9/4</f>
        <v>735.2522100000001</v>
      </c>
    </row>
    <row r="52" spans="1:11" ht="28.8" x14ac:dyDescent="0.3">
      <c r="A52" s="45" t="s">
        <v>48</v>
      </c>
      <c r="B52" s="45"/>
      <c r="C52" s="52"/>
      <c r="D52" s="26">
        <f>SUM(D49/64)</f>
        <v>19188.05858738994</v>
      </c>
      <c r="E52" s="26">
        <f t="shared" ref="E52:F52" si="17">SUM(E49/64)</f>
        <v>32233.101005951899</v>
      </c>
      <c r="F52" s="26">
        <f t="shared" si="17"/>
        <v>20145.688128719936</v>
      </c>
      <c r="G52" s="24"/>
      <c r="H52" s="25" t="s">
        <v>162</v>
      </c>
      <c r="I52" s="65" t="s">
        <v>113</v>
      </c>
      <c r="K52" s="108">
        <f>SUM(K51*F47)/1000</f>
        <v>2088.1162764000005</v>
      </c>
    </row>
    <row r="53" spans="1:11" ht="28.8" x14ac:dyDescent="0.3">
      <c r="A53" s="44" t="s">
        <v>132</v>
      </c>
      <c r="B53" s="44"/>
      <c r="C53" s="46" t="s">
        <v>133</v>
      </c>
      <c r="D53" s="87">
        <v>150</v>
      </c>
      <c r="E53" s="87">
        <v>150</v>
      </c>
      <c r="F53" s="87">
        <v>150</v>
      </c>
      <c r="G53" s="24"/>
      <c r="H53" s="25" t="s">
        <v>131</v>
      </c>
      <c r="I53" s="65" t="s">
        <v>113</v>
      </c>
    </row>
    <row r="54" spans="1:11" x14ac:dyDescent="0.3">
      <c r="A54" s="45" t="s">
        <v>46</v>
      </c>
      <c r="B54" s="45"/>
      <c r="C54" s="52" t="s">
        <v>24</v>
      </c>
      <c r="D54" s="37">
        <f>SUM(365/(D52/D42))</f>
        <v>0.80761022255725834</v>
      </c>
      <c r="E54" s="37">
        <f>SUM(365/(E52/E42))</f>
        <v>0.24038134375191292</v>
      </c>
      <c r="F54" s="37">
        <f>SUM(365/(F52/F42))</f>
        <v>0.19230507500153035</v>
      </c>
      <c r="G54" s="24"/>
      <c r="H54" s="25"/>
      <c r="I54" s="25"/>
    </row>
    <row r="55" spans="1:11" x14ac:dyDescent="0.3">
      <c r="A55" s="45" t="s">
        <v>114</v>
      </c>
      <c r="B55" s="45"/>
      <c r="C55" s="52" t="s">
        <v>118</v>
      </c>
      <c r="D55" s="66">
        <f>SUM(D52*D53/1000)</f>
        <v>2878.2087881084908</v>
      </c>
      <c r="E55" s="66">
        <f t="shared" ref="E55:F55" si="18">SUM(E52*E53/1000)</f>
        <v>4834.9651508927845</v>
      </c>
      <c r="F55" s="66">
        <f t="shared" si="18"/>
        <v>3021.8532193079905</v>
      </c>
      <c r="G55" s="24"/>
      <c r="H55" s="25"/>
      <c r="I55" s="25"/>
    </row>
    <row r="57" spans="1:11" ht="21" x14ac:dyDescent="0.3">
      <c r="A57" s="70" t="s">
        <v>21</v>
      </c>
      <c r="B57" s="10"/>
      <c r="G57" s="8"/>
    </row>
    <row r="58" spans="1:11" x14ac:dyDescent="0.3">
      <c r="G58" s="8"/>
    </row>
    <row r="59" spans="1:11" x14ac:dyDescent="0.3">
      <c r="A59" s="44" t="s">
        <v>20</v>
      </c>
      <c r="B59" s="44"/>
      <c r="C59" s="46" t="s">
        <v>19</v>
      </c>
      <c r="D59" s="109">
        <f>'Materials Table 1km'!K$23*3600/1000000</f>
        <v>2.0699999999999998</v>
      </c>
      <c r="E59" s="109">
        <f>'Materials Table 1km'!L$23*3600/1000000</f>
        <v>0.54</v>
      </c>
      <c r="F59" s="109">
        <f>'Materials Table 1km'!M$23*3600/1000000</f>
        <v>0.54</v>
      </c>
      <c r="G59" s="30"/>
      <c r="H59" s="25"/>
      <c r="I59" s="25"/>
    </row>
    <row r="60" spans="1:11" x14ac:dyDescent="0.3">
      <c r="A60" s="44" t="s">
        <v>18</v>
      </c>
      <c r="B60" s="44"/>
      <c r="C60" s="46" t="s">
        <v>17</v>
      </c>
      <c r="D60" s="28">
        <f>SUM(D49*D59)</f>
        <v>2542034.0016574189</v>
      </c>
      <c r="E60" s="28">
        <f>SUM(E49*E59)</f>
        <v>1113975.9707656978</v>
      </c>
      <c r="F60" s="28">
        <f>SUM(F49*F59)</f>
        <v>696234.98172856099</v>
      </c>
      <c r="G60" s="30"/>
      <c r="H60" s="25"/>
      <c r="I60" s="25"/>
    </row>
    <row r="61" spans="1:11" ht="27.6" x14ac:dyDescent="0.3">
      <c r="A61" s="44" t="s">
        <v>107</v>
      </c>
      <c r="B61" s="44"/>
      <c r="C61" s="46" t="s">
        <v>9</v>
      </c>
      <c r="D61" s="23">
        <v>0.7</v>
      </c>
      <c r="E61" s="23">
        <v>0.7</v>
      </c>
      <c r="F61" s="23">
        <v>0.7</v>
      </c>
      <c r="G61" s="30"/>
      <c r="H61" s="110" t="s">
        <v>149</v>
      </c>
      <c r="I61" s="25"/>
    </row>
    <row r="62" spans="1:11" ht="43.2" x14ac:dyDescent="0.3">
      <c r="A62" s="45" t="s">
        <v>16</v>
      </c>
      <c r="B62" s="45"/>
      <c r="C62" s="52" t="s">
        <v>15</v>
      </c>
      <c r="D62" s="26">
        <f>D59*1000*D38/D61</f>
        <v>63992.571428571435</v>
      </c>
      <c r="E62" s="26">
        <f t="shared" ref="E62:F62" si="19">E59*1000*E38/E61</f>
        <v>35053.714285714283</v>
      </c>
      <c r="F62" s="26">
        <f t="shared" si="19"/>
        <v>70107.428571428565</v>
      </c>
      <c r="G62" s="111">
        <v>120</v>
      </c>
      <c r="H62" s="25" t="s">
        <v>150</v>
      </c>
      <c r="I62" s="25"/>
    </row>
    <row r="63" spans="1:11" ht="28.8" x14ac:dyDescent="0.3">
      <c r="A63" s="44" t="s">
        <v>13</v>
      </c>
      <c r="B63" s="44"/>
      <c r="C63" s="46" t="s">
        <v>12</v>
      </c>
      <c r="D63" s="71">
        <v>1365</v>
      </c>
      <c r="E63" s="71">
        <v>1365</v>
      </c>
      <c r="F63" s="71">
        <v>1365</v>
      </c>
      <c r="G63" s="112"/>
      <c r="H63" s="25" t="s">
        <v>145</v>
      </c>
      <c r="I63" s="113" t="s">
        <v>11</v>
      </c>
    </row>
    <row r="64" spans="1:11" x14ac:dyDescent="0.3">
      <c r="A64" s="44" t="s">
        <v>10</v>
      </c>
      <c r="B64" s="44"/>
      <c r="C64" s="46" t="s">
        <v>9</v>
      </c>
      <c r="D64" s="23">
        <v>0.4</v>
      </c>
      <c r="E64" s="23">
        <v>0.4</v>
      </c>
      <c r="F64" s="23">
        <v>0.4</v>
      </c>
      <c r="G64" s="30"/>
      <c r="H64" s="25"/>
      <c r="I64" s="25"/>
    </row>
    <row r="65" spans="1:9" ht="28.8" x14ac:dyDescent="0.3">
      <c r="A65" s="45" t="s">
        <v>148</v>
      </c>
      <c r="B65" s="45"/>
      <c r="C65" s="52" t="s">
        <v>3</v>
      </c>
      <c r="D65" s="26">
        <f>SUM(D62/D63)*1000/D64</f>
        <v>117202.51177394036</v>
      </c>
      <c r="E65" s="26">
        <f t="shared" ref="E65:F65" si="20">SUM(E62/E63)*1000/E64</f>
        <v>64200.941915227631</v>
      </c>
      <c r="F65" s="26">
        <f t="shared" si="20"/>
        <v>128401.88383045526</v>
      </c>
      <c r="G65" s="24"/>
      <c r="H65" s="25" t="s">
        <v>146</v>
      </c>
      <c r="I65" s="113" t="s">
        <v>7</v>
      </c>
    </row>
    <row r="66" spans="1:9" x14ac:dyDescent="0.3">
      <c r="A66" s="44" t="s">
        <v>2</v>
      </c>
      <c r="B66" s="44"/>
      <c r="C66" s="46" t="s">
        <v>0</v>
      </c>
      <c r="D66" s="28">
        <f>SQRT(D65)</f>
        <v>342.34852383782868</v>
      </c>
      <c r="E66" s="28">
        <f>SQRT(E65)</f>
        <v>253.37904790102047</v>
      </c>
      <c r="F66" s="28">
        <f>SQRT(F65)</f>
        <v>358.33208596280525</v>
      </c>
      <c r="G66" s="111">
        <f>SQRT(G68)</f>
        <v>50</v>
      </c>
      <c r="H66" s="25" t="s">
        <v>6</v>
      </c>
      <c r="I66" s="25"/>
    </row>
    <row r="67" spans="1:9" x14ac:dyDescent="0.3">
      <c r="A67" s="44" t="s">
        <v>1</v>
      </c>
      <c r="B67" s="44"/>
      <c r="C67" s="46" t="s">
        <v>0</v>
      </c>
      <c r="D67" s="28">
        <f>SQRT(D65*4/3.14)</f>
        <v>386.39689798101483</v>
      </c>
      <c r="E67" s="28">
        <f>SQRT(E65*4/3.14)</f>
        <v>285.98013809083943</v>
      </c>
      <c r="F67" s="28">
        <f>SQRT(F65*4/3.14)</f>
        <v>404.43698985739564</v>
      </c>
      <c r="G67" s="111">
        <f>SQRT(G68*4/3.14)</f>
        <v>56.433264798310034</v>
      </c>
      <c r="H67" s="25" t="s">
        <v>5</v>
      </c>
      <c r="I67" s="25"/>
    </row>
    <row r="68" spans="1:9" x14ac:dyDescent="0.3">
      <c r="A68" s="45" t="s">
        <v>4</v>
      </c>
      <c r="B68" s="45"/>
      <c r="C68" s="52" t="s">
        <v>3</v>
      </c>
      <c r="D68" s="26">
        <f>D62/$G62*$G68/D61</f>
        <v>1904540.8163265309</v>
      </c>
      <c r="E68" s="26">
        <f>E62/$G62*$G68/E61</f>
        <v>1043265.3061224489</v>
      </c>
      <c r="F68" s="26">
        <f>F62/$G62*$G68/F61</f>
        <v>2086530.6122448978</v>
      </c>
      <c r="G68" s="111">
        <v>2500</v>
      </c>
      <c r="H68" s="25" t="s">
        <v>147</v>
      </c>
      <c r="I68" s="25"/>
    </row>
    <row r="69" spans="1:9" x14ac:dyDescent="0.3">
      <c r="A69" s="44" t="s">
        <v>2</v>
      </c>
      <c r="B69" s="44"/>
      <c r="C69" s="46" t="s">
        <v>0</v>
      </c>
      <c r="D69" s="28">
        <f>SQRT(D68)</f>
        <v>1380.0510194650526</v>
      </c>
      <c r="E69" s="28">
        <f>SQRT(E68)</f>
        <v>1021.4035960982558</v>
      </c>
      <c r="F69" s="28">
        <f>SQRT(F68)</f>
        <v>1444.4828182588042</v>
      </c>
      <c r="G69" s="24"/>
      <c r="H69" s="25"/>
      <c r="I69" s="25"/>
    </row>
    <row r="70" spans="1:9" x14ac:dyDescent="0.3">
      <c r="A70" s="44" t="s">
        <v>1</v>
      </c>
      <c r="B70" s="44"/>
      <c r="C70" s="46" t="s">
        <v>0</v>
      </c>
      <c r="D70" s="28">
        <f>SQRT(D68*4/3.14)</f>
        <v>1557.6156923329804</v>
      </c>
      <c r="E70" s="28">
        <f>SQRT(E68*4/3.14)</f>
        <v>1152.8227920911795</v>
      </c>
      <c r="F70" s="28">
        <f>SQRT(F68*4/3.14)</f>
        <v>1630.3376275881649</v>
      </c>
      <c r="G70" s="24"/>
      <c r="H70" s="25"/>
      <c r="I70" s="25"/>
    </row>
    <row r="72" spans="1:9" x14ac:dyDescent="0.3">
      <c r="A72" s="27" t="s">
        <v>109</v>
      </c>
    </row>
    <row r="73" spans="1:9" x14ac:dyDescent="0.3">
      <c r="A73" s="68" t="s">
        <v>110</v>
      </c>
    </row>
    <row r="74" spans="1:9" x14ac:dyDescent="0.3">
      <c r="A74" s="21" t="s">
        <v>117</v>
      </c>
    </row>
  </sheetData>
  <hyperlinks>
    <hyperlink ref="I63" r:id="rId1" xr:uid="{112D0FFD-8363-4544-B641-113F3D9C2E7C}"/>
    <hyperlink ref="I65" r:id="rId2" xr:uid="{AA37514C-01C6-4C75-8D38-DB7B60E9A331}"/>
    <hyperlink ref="I52" r:id="rId3" xr:uid="{56FEC5B8-BD45-4278-B53F-4BAD9D7202BF}"/>
    <hyperlink ref="I53" r:id="rId4" xr:uid="{E64B54EF-3115-4ADE-B74F-11D439B769F3}"/>
    <hyperlink ref="I50" r:id="rId5" location=":~:text=The%20moon%27s%20mass%20is%207.35%20x%2010%2022,3.34%20grams%20per%20cubic%20centimeter%20%283.34%20g%2Fcm%203%29." xr:uid="{257F0A11-78FE-4504-B42F-2B6C0B9E70E7}"/>
    <hyperlink ref="I26" r:id="rId6" xr:uid="{E7CFF5B7-5AD8-4B9A-A7C4-49929C68D186}"/>
    <hyperlink ref="I51" r:id="rId7" xr:uid="{36357B07-79C3-4E09-987E-330BCF152796}"/>
  </hyperlinks>
  <pageMargins left="0.7" right="0.7" top="0.75" bottom="0.75" header="0.3" footer="0.3"/>
  <pageSetup paperSize="9" orientation="portrait" horizontalDpi="4294967293" verticalDpi="300" r:id="rId8"/>
  <drawing r:id="rId9"/>
  <legacyDrawing r:id="rId10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11" name="Drop Down 1">
              <controlPr defaultSize="0" autoLine="0" autoPict="0">
                <anchor moveWithCells="1">
                  <from>
                    <xdr:col>2</xdr:col>
                    <xdr:colOff>609600</xdr:colOff>
                    <xdr:row>44</xdr:row>
                    <xdr:rowOff>175260</xdr:rowOff>
                  </from>
                  <to>
                    <xdr:col>4</xdr:col>
                    <xdr:colOff>7620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12" name="Drop Down 2">
              <controlPr defaultSize="0" autoLine="0" autoPict="0">
                <anchor moveWithCells="1">
                  <from>
                    <xdr:col>4</xdr:col>
                    <xdr:colOff>0</xdr:colOff>
                    <xdr:row>44</xdr:row>
                    <xdr:rowOff>182880</xdr:rowOff>
                  </from>
                  <to>
                    <xdr:col>5</xdr:col>
                    <xdr:colOff>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13" name="Drop Down 3">
              <controlPr defaultSize="0" autoLine="0" autoPict="0">
                <anchor moveWithCells="1">
                  <from>
                    <xdr:col>5</xdr:col>
                    <xdr:colOff>0</xdr:colOff>
                    <xdr:row>44</xdr:row>
                    <xdr:rowOff>175260</xdr:rowOff>
                  </from>
                  <to>
                    <xdr:col>6</xdr:col>
                    <xdr:colOff>0</xdr:colOff>
                    <xdr:row>46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531B-5DEF-4135-84E9-587788CFD9A8}">
  <dimension ref="A1:J16"/>
  <sheetViews>
    <sheetView workbookViewId="0">
      <selection activeCell="A5" sqref="A5"/>
    </sheetView>
  </sheetViews>
  <sheetFormatPr defaultColWidth="9.109375" defaultRowHeight="14.4" x14ac:dyDescent="0.3"/>
  <cols>
    <col min="1" max="1" width="39" customWidth="1"/>
  </cols>
  <sheetData>
    <row r="1" spans="1:10" x14ac:dyDescent="0.3">
      <c r="B1" t="s">
        <v>87</v>
      </c>
      <c r="C1" t="s">
        <v>86</v>
      </c>
      <c r="D1" t="s">
        <v>85</v>
      </c>
      <c r="H1" t="s">
        <v>87</v>
      </c>
      <c r="I1" t="s">
        <v>86</v>
      </c>
      <c r="J1" t="s">
        <v>85</v>
      </c>
    </row>
    <row r="2" spans="1:10" x14ac:dyDescent="0.3">
      <c r="A2" s="2" t="s">
        <v>75</v>
      </c>
      <c r="B2" s="64">
        <f>'Basic Calcs 1km'!D8*100</f>
        <v>50</v>
      </c>
      <c r="C2" s="64">
        <f>'Basic Calcs 1km'!E8*100</f>
        <v>50</v>
      </c>
      <c r="D2" s="64">
        <f>'Basic Calcs 1km'!F8*100</f>
        <v>50</v>
      </c>
      <c r="E2" s="5" t="s">
        <v>112</v>
      </c>
      <c r="G2" t="s">
        <v>75</v>
      </c>
      <c r="H2">
        <v>2</v>
      </c>
      <c r="I2">
        <v>5</v>
      </c>
      <c r="J2">
        <v>10</v>
      </c>
    </row>
    <row r="3" spans="1:10" x14ac:dyDescent="0.3">
      <c r="A3" s="2" t="s">
        <v>23</v>
      </c>
      <c r="B3">
        <f>'Basic Calcs 1km'!D42</f>
        <v>42.456088400558087</v>
      </c>
      <c r="C3">
        <f>'Basic Calcs 1km'!E42</f>
        <v>21.228044200279051</v>
      </c>
      <c r="D3">
        <f>'Basic Calcs 1km'!F42</f>
        <v>10.614022100139525</v>
      </c>
      <c r="E3" s="5" t="s">
        <v>22</v>
      </c>
      <c r="G3" t="s">
        <v>23</v>
      </c>
      <c r="H3">
        <v>1.0791824363775266</v>
      </c>
      <c r="I3">
        <v>2.6836218436072485</v>
      </c>
      <c r="J3">
        <v>5.3195182069169888</v>
      </c>
    </row>
    <row r="5" spans="1:10" x14ac:dyDescent="0.3">
      <c r="A5" s="2" t="s">
        <v>75</v>
      </c>
      <c r="B5" s="64">
        <f>B2</f>
        <v>50</v>
      </c>
      <c r="C5" s="64">
        <f t="shared" ref="C5:D5" si="0">C2</f>
        <v>50</v>
      </c>
      <c r="D5" s="64">
        <f t="shared" si="0"/>
        <v>50</v>
      </c>
    </row>
    <row r="6" spans="1:10" x14ac:dyDescent="0.3">
      <c r="A6" s="2" t="s">
        <v>48</v>
      </c>
      <c r="B6">
        <f>'Basic Calcs 1km'!D52</f>
        <v>19188.05858738994</v>
      </c>
      <c r="C6">
        <f>'Basic Calcs 1km'!E52</f>
        <v>32233.101005951899</v>
      </c>
      <c r="D6">
        <f>'Basic Calcs 1km'!F52</f>
        <v>20145.688128719936</v>
      </c>
    </row>
    <row r="7" spans="1:10" x14ac:dyDescent="0.3">
      <c r="A7" s="2"/>
    </row>
    <row r="8" spans="1:10" x14ac:dyDescent="0.3">
      <c r="A8" s="2" t="s">
        <v>61</v>
      </c>
      <c r="B8">
        <f>'Basic Calcs 1km'!D21</f>
        <v>907974.67622399714</v>
      </c>
      <c r="C8">
        <f>'Basic Calcs 1km'!E21</f>
        <v>907974.67622399714</v>
      </c>
      <c r="D8">
        <f>'Basic Calcs 1km'!F21</f>
        <v>907974.67622399714</v>
      </c>
      <c r="E8" s="5" t="s">
        <v>58</v>
      </c>
    </row>
    <row r="9" spans="1:10" x14ac:dyDescent="0.3">
      <c r="A9" s="2" t="s">
        <v>60</v>
      </c>
      <c r="B9">
        <f>'Basic Calcs 1km'!D22</f>
        <v>5000</v>
      </c>
      <c r="C9">
        <f>'Basic Calcs 1km'!E22</f>
        <v>10000</v>
      </c>
      <c r="D9">
        <f>'Basic Calcs 1km'!F22</f>
        <v>20000</v>
      </c>
      <c r="E9" s="5"/>
    </row>
    <row r="10" spans="1:10" x14ac:dyDescent="0.3">
      <c r="A10" s="2" t="s">
        <v>59</v>
      </c>
      <c r="B10">
        <f>'Basic Calcs 1km'!D24</f>
        <v>2129.8739083776004</v>
      </c>
      <c r="C10">
        <f>'Basic Calcs 1km'!E24</f>
        <v>1064.9369541888002</v>
      </c>
      <c r="D10">
        <f>'Basic Calcs 1km'!F24</f>
        <v>532.4684770944001</v>
      </c>
      <c r="E10" s="5" t="s">
        <v>58</v>
      </c>
    </row>
    <row r="11" spans="1:10" x14ac:dyDescent="0.3">
      <c r="A11" s="2" t="s">
        <v>51</v>
      </c>
      <c r="B11">
        <f>'Basic Calcs 1km'!D49</f>
        <v>1228035.7495929562</v>
      </c>
      <c r="C11">
        <f>'Basic Calcs 1km'!E49</f>
        <v>2062918.4643809216</v>
      </c>
      <c r="D11">
        <f>'Basic Calcs 1km'!F49</f>
        <v>1289324.0402380759</v>
      </c>
      <c r="E11" s="5" t="s">
        <v>50</v>
      </c>
    </row>
    <row r="12" spans="1:10" x14ac:dyDescent="0.3">
      <c r="E12" s="5"/>
    </row>
    <row r="13" spans="1:10" x14ac:dyDescent="0.3">
      <c r="A13" s="2" t="s">
        <v>46</v>
      </c>
      <c r="B13">
        <f>'Basic Calcs 1km'!D54</f>
        <v>0.80761022255725834</v>
      </c>
      <c r="C13">
        <f>'Basic Calcs 1km'!E54</f>
        <v>0.24038134375191292</v>
      </c>
      <c r="D13">
        <f>'Basic Calcs 1km'!F54</f>
        <v>0.19230507500153035</v>
      </c>
      <c r="E13" s="5" t="s">
        <v>24</v>
      </c>
    </row>
    <row r="15" spans="1:10" x14ac:dyDescent="0.3">
      <c r="A15" s="2" t="s">
        <v>16</v>
      </c>
      <c r="B15">
        <f>'Basic Calcs 1km'!D62</f>
        <v>63992.571428571435</v>
      </c>
      <c r="C15">
        <f>'Basic Calcs 1km'!E62</f>
        <v>35053.714285714283</v>
      </c>
      <c r="D15">
        <f>'Basic Calcs 1km'!F62</f>
        <v>70107.428571428565</v>
      </c>
      <c r="E15" s="5" t="s">
        <v>15</v>
      </c>
    </row>
    <row r="16" spans="1:10" x14ac:dyDescent="0.3">
      <c r="A16" s="2" t="s">
        <v>8</v>
      </c>
      <c r="B16">
        <f>'Basic Calcs 1km'!D65</f>
        <v>117202.51177394036</v>
      </c>
      <c r="C16">
        <f>'Basic Calcs 1km'!E65</f>
        <v>64200.941915227631</v>
      </c>
      <c r="D16">
        <f>'Basic Calcs 1km'!F65</f>
        <v>128401.88383045526</v>
      </c>
      <c r="E16" s="5" t="s">
        <v>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32D2-3FF1-4D9E-A36D-75375B7D44A5}">
  <dimension ref="A1:O23"/>
  <sheetViews>
    <sheetView showGridLines="0" topLeftCell="H1" workbookViewId="0">
      <selection activeCell="N2" sqref="N2:N21"/>
    </sheetView>
  </sheetViews>
  <sheetFormatPr defaultColWidth="9.109375" defaultRowHeight="14.4" x14ac:dyDescent="0.3"/>
  <cols>
    <col min="1" max="7" width="0" style="14" hidden="1" customWidth="1"/>
    <col min="8" max="8" width="15.44140625" style="14" bestFit="1" customWidth="1"/>
    <col min="9" max="9" width="10.5546875" style="15" customWidth="1"/>
    <col min="10" max="10" width="65.6640625" style="14" customWidth="1"/>
    <col min="11" max="13" width="9.33203125" style="14" hidden="1" customWidth="1"/>
    <col min="14" max="14" width="11.5546875" style="15" bestFit="1" customWidth="1"/>
    <col min="15" max="15" width="65.6640625" style="14" customWidth="1"/>
    <col min="16" max="16384" width="9.109375" style="14"/>
  </cols>
  <sheetData>
    <row r="1" spans="1:15" ht="28.8" x14ac:dyDescent="0.3">
      <c r="E1" s="14">
        <v>1</v>
      </c>
      <c r="F1" s="14">
        <v>2</v>
      </c>
      <c r="G1" s="14">
        <v>3</v>
      </c>
      <c r="H1" s="58" t="s">
        <v>103</v>
      </c>
      <c r="I1" s="59" t="s">
        <v>102</v>
      </c>
      <c r="J1" s="58" t="s">
        <v>83</v>
      </c>
      <c r="K1" s="58"/>
      <c r="L1" s="58"/>
      <c r="M1" s="58"/>
      <c r="N1" s="59" t="s">
        <v>101</v>
      </c>
      <c r="O1" s="58" t="s">
        <v>83</v>
      </c>
    </row>
    <row r="2" spans="1:15" x14ac:dyDescent="0.3">
      <c r="A2" s="14">
        <v>1</v>
      </c>
      <c r="B2" s="14">
        <v>2</v>
      </c>
      <c r="C2" s="14">
        <v>1</v>
      </c>
      <c r="D2" s="14">
        <v>1</v>
      </c>
      <c r="E2" s="14" t="str">
        <f t="shared" ref="E2:E21" si="0">IF(B2=A2,I2,"")</f>
        <v/>
      </c>
      <c r="F2" s="14">
        <f t="shared" ref="F2:F21" si="1">IF(C2=A2,I2,"")</f>
        <v>2840</v>
      </c>
      <c r="G2" s="14">
        <f t="shared" ref="G2:G21" si="2">IF(D2=A2,I2,"")</f>
        <v>2840</v>
      </c>
      <c r="H2" s="60" t="str">
        <f>'Materials Properties'!H2</f>
        <v>Moon Rock</v>
      </c>
      <c r="I2" s="60">
        <f>'Materials Properties'!I2</f>
        <v>2840</v>
      </c>
      <c r="J2" s="61" t="s">
        <v>99</v>
      </c>
      <c r="K2" s="60" t="str">
        <f t="shared" ref="K2:K21" si="3">IF(A2=B2,N2,"")</f>
        <v/>
      </c>
      <c r="L2" s="60">
        <f t="shared" ref="L2:L21" si="4">IF(C2=A2,N2,"")</f>
        <v>150</v>
      </c>
      <c r="M2" s="60">
        <f t="shared" ref="M2:M21" si="5">IF(D2=A2,N2,"")</f>
        <v>150</v>
      </c>
      <c r="N2" s="60">
        <f>'Materials Properties'!N2</f>
        <v>150</v>
      </c>
      <c r="O2" s="63" t="s">
        <v>98</v>
      </c>
    </row>
    <row r="3" spans="1:15" ht="28.8" x14ac:dyDescent="0.3">
      <c r="A3" s="14">
        <v>2</v>
      </c>
      <c r="B3" s="14">
        <f t="shared" ref="B3:D21" si="6">B2</f>
        <v>2</v>
      </c>
      <c r="C3" s="14">
        <f t="shared" si="6"/>
        <v>1</v>
      </c>
      <c r="D3" s="14">
        <f t="shared" si="6"/>
        <v>1</v>
      </c>
      <c r="E3" s="14">
        <f t="shared" si="0"/>
        <v>2705</v>
      </c>
      <c r="F3" s="14" t="str">
        <f t="shared" si="1"/>
        <v/>
      </c>
      <c r="G3" s="14" t="str">
        <f t="shared" si="2"/>
        <v/>
      </c>
      <c r="H3" s="60" t="str">
        <f>'Materials Properties'!H3</f>
        <v>Auminium</v>
      </c>
      <c r="I3" s="60">
        <f>'Materials Properties'!I3</f>
        <v>2705</v>
      </c>
      <c r="J3" s="61" t="s">
        <v>95</v>
      </c>
      <c r="K3" s="60">
        <f t="shared" si="3"/>
        <v>575</v>
      </c>
      <c r="L3" s="60" t="str">
        <f t="shared" si="4"/>
        <v/>
      </c>
      <c r="M3" s="60" t="str">
        <f t="shared" si="5"/>
        <v/>
      </c>
      <c r="N3" s="60">
        <f>'Materials Properties'!N3</f>
        <v>575</v>
      </c>
      <c r="O3" s="61" t="s">
        <v>94</v>
      </c>
    </row>
    <row r="4" spans="1:15" ht="28.8" x14ac:dyDescent="0.3">
      <c r="A4" s="14">
        <v>3</v>
      </c>
      <c r="B4" s="14">
        <f t="shared" si="6"/>
        <v>2</v>
      </c>
      <c r="C4" s="14">
        <f t="shared" si="6"/>
        <v>1</v>
      </c>
      <c r="D4" s="14">
        <f t="shared" si="6"/>
        <v>1</v>
      </c>
      <c r="E4" s="14" t="str">
        <f t="shared" si="0"/>
        <v/>
      </c>
      <c r="F4" s="14" t="str">
        <f t="shared" si="1"/>
        <v/>
      </c>
      <c r="G4" s="14" t="str">
        <f t="shared" si="2"/>
        <v/>
      </c>
      <c r="H4" s="60" t="str">
        <f>'Materials Properties'!H4</f>
        <v>Steel</v>
      </c>
      <c r="I4" s="60">
        <f>'Materials Properties'!I4</f>
        <v>7850</v>
      </c>
      <c r="J4" s="61" t="s">
        <v>95</v>
      </c>
      <c r="K4" s="60" t="str">
        <f t="shared" si="3"/>
        <v/>
      </c>
      <c r="L4" s="60" t="str">
        <f t="shared" si="4"/>
        <v/>
      </c>
      <c r="M4" s="60" t="str">
        <f t="shared" si="5"/>
        <v/>
      </c>
      <c r="N4" s="60">
        <f>'Materials Properties'!N4</f>
        <v>600</v>
      </c>
      <c r="O4" s="61" t="s">
        <v>94</v>
      </c>
    </row>
    <row r="5" spans="1:15" ht="57.6" x14ac:dyDescent="0.3">
      <c r="A5" s="14">
        <v>4</v>
      </c>
      <c r="B5" s="14">
        <f t="shared" si="6"/>
        <v>2</v>
      </c>
      <c r="C5" s="14">
        <f t="shared" si="6"/>
        <v>1</v>
      </c>
      <c r="D5" s="14">
        <f t="shared" si="6"/>
        <v>1</v>
      </c>
      <c r="E5" s="14" t="str">
        <f t="shared" si="0"/>
        <v/>
      </c>
      <c r="F5" s="14" t="str">
        <f t="shared" si="1"/>
        <v/>
      </c>
      <c r="G5" s="14" t="str">
        <f t="shared" si="2"/>
        <v/>
      </c>
      <c r="H5" s="60" t="str">
        <f>'Materials Properties'!H5</f>
        <v>High Impact ABS</v>
      </c>
      <c r="I5" s="60">
        <f>'Materials Properties'!I5</f>
        <v>1100</v>
      </c>
      <c r="J5" s="61" t="s">
        <v>92</v>
      </c>
      <c r="K5" s="60" t="str">
        <f t="shared" si="3"/>
        <v/>
      </c>
      <c r="L5" s="60" t="str">
        <f t="shared" si="4"/>
        <v/>
      </c>
      <c r="M5" s="60" t="str">
        <f t="shared" si="5"/>
        <v/>
      </c>
      <c r="N5" s="60">
        <f>'Materials Properties'!N5</f>
        <v>100.22993999999998</v>
      </c>
      <c r="O5" s="61" t="s">
        <v>91</v>
      </c>
    </row>
    <row r="6" spans="1:15" x14ac:dyDescent="0.3">
      <c r="A6" s="14">
        <v>5</v>
      </c>
      <c r="B6" s="14">
        <f t="shared" si="6"/>
        <v>2</v>
      </c>
      <c r="C6" s="14">
        <f t="shared" si="6"/>
        <v>1</v>
      </c>
      <c r="D6" s="14">
        <f t="shared" si="6"/>
        <v>1</v>
      </c>
      <c r="E6" s="14" t="str">
        <f t="shared" si="0"/>
        <v/>
      </c>
      <c r="F6" s="14" t="str">
        <f t="shared" si="1"/>
        <v/>
      </c>
      <c r="G6" s="14" t="str">
        <f t="shared" si="2"/>
        <v/>
      </c>
      <c r="H6" s="60" t="str">
        <f>'Materials Properties'!H6</f>
        <v>Add to table</v>
      </c>
      <c r="I6" s="60">
        <f>'Materials Properties'!I6</f>
        <v>0</v>
      </c>
      <c r="J6" s="60"/>
      <c r="K6" s="60" t="str">
        <f t="shared" si="3"/>
        <v/>
      </c>
      <c r="L6" s="60" t="str">
        <f t="shared" si="4"/>
        <v/>
      </c>
      <c r="M6" s="60" t="str">
        <f t="shared" si="5"/>
        <v/>
      </c>
      <c r="N6" s="60">
        <f>'Materials Properties'!N6</f>
        <v>0</v>
      </c>
      <c r="O6" s="60"/>
    </row>
    <row r="7" spans="1:15" x14ac:dyDescent="0.3">
      <c r="A7" s="14">
        <v>6</v>
      </c>
      <c r="B7" s="14">
        <f t="shared" si="6"/>
        <v>2</v>
      </c>
      <c r="C7" s="14">
        <f t="shared" si="6"/>
        <v>1</v>
      </c>
      <c r="D7" s="14">
        <f t="shared" si="6"/>
        <v>1</v>
      </c>
      <c r="E7" s="14" t="str">
        <f t="shared" si="0"/>
        <v/>
      </c>
      <c r="F7" s="14" t="str">
        <f t="shared" si="1"/>
        <v/>
      </c>
      <c r="G7" s="14" t="str">
        <f t="shared" si="2"/>
        <v/>
      </c>
      <c r="H7" s="60" t="str">
        <f>'Materials Properties'!H7</f>
        <v>Add to table</v>
      </c>
      <c r="I7" s="60">
        <f>'Materials Properties'!I7</f>
        <v>0</v>
      </c>
      <c r="J7" s="60"/>
      <c r="K7" s="60" t="str">
        <f t="shared" si="3"/>
        <v/>
      </c>
      <c r="L7" s="60" t="str">
        <f t="shared" si="4"/>
        <v/>
      </c>
      <c r="M7" s="60" t="str">
        <f t="shared" si="5"/>
        <v/>
      </c>
      <c r="N7" s="60">
        <f>'Materials Properties'!N7</f>
        <v>0</v>
      </c>
      <c r="O7" s="60"/>
    </row>
    <row r="8" spans="1:15" x14ac:dyDescent="0.3">
      <c r="A8" s="14">
        <v>7</v>
      </c>
      <c r="B8" s="14">
        <f t="shared" si="6"/>
        <v>2</v>
      </c>
      <c r="C8" s="14">
        <f t="shared" si="6"/>
        <v>1</v>
      </c>
      <c r="D8" s="14">
        <f t="shared" si="6"/>
        <v>1</v>
      </c>
      <c r="E8" s="14" t="str">
        <f t="shared" si="0"/>
        <v/>
      </c>
      <c r="F8" s="14" t="str">
        <f t="shared" si="1"/>
        <v/>
      </c>
      <c r="G8" s="14" t="str">
        <f t="shared" si="2"/>
        <v/>
      </c>
      <c r="H8" s="60" t="str">
        <f>'Materials Properties'!H8</f>
        <v>Add to table</v>
      </c>
      <c r="I8" s="60">
        <f>'Materials Properties'!I8</f>
        <v>0</v>
      </c>
      <c r="J8" s="60"/>
      <c r="K8" s="60" t="str">
        <f t="shared" si="3"/>
        <v/>
      </c>
      <c r="L8" s="60" t="str">
        <f t="shared" si="4"/>
        <v/>
      </c>
      <c r="M8" s="60" t="str">
        <f t="shared" si="5"/>
        <v/>
      </c>
      <c r="N8" s="60">
        <f>'Materials Properties'!N8</f>
        <v>0</v>
      </c>
      <c r="O8" s="60"/>
    </row>
    <row r="9" spans="1:15" x14ac:dyDescent="0.3">
      <c r="A9" s="14">
        <v>8</v>
      </c>
      <c r="B9" s="14">
        <f t="shared" si="6"/>
        <v>2</v>
      </c>
      <c r="C9" s="14">
        <f t="shared" si="6"/>
        <v>1</v>
      </c>
      <c r="D9" s="14">
        <f t="shared" si="6"/>
        <v>1</v>
      </c>
      <c r="E9" s="14" t="str">
        <f t="shared" si="0"/>
        <v/>
      </c>
      <c r="F9" s="14" t="str">
        <f t="shared" si="1"/>
        <v/>
      </c>
      <c r="G9" s="14" t="str">
        <f t="shared" si="2"/>
        <v/>
      </c>
      <c r="H9" s="60" t="str">
        <f>'Materials Properties'!H9</f>
        <v>Add to table</v>
      </c>
      <c r="I9" s="60">
        <f>'Materials Properties'!I9</f>
        <v>0</v>
      </c>
      <c r="J9" s="60"/>
      <c r="K9" s="60" t="str">
        <f t="shared" si="3"/>
        <v/>
      </c>
      <c r="L9" s="60" t="str">
        <f t="shared" si="4"/>
        <v/>
      </c>
      <c r="M9" s="60" t="str">
        <f t="shared" si="5"/>
        <v/>
      </c>
      <c r="N9" s="60">
        <f>'Materials Properties'!N9</f>
        <v>0</v>
      </c>
      <c r="O9" s="60"/>
    </row>
    <row r="10" spans="1:15" x14ac:dyDescent="0.3">
      <c r="A10" s="14">
        <v>9</v>
      </c>
      <c r="B10" s="14">
        <f t="shared" si="6"/>
        <v>2</v>
      </c>
      <c r="C10" s="14">
        <f t="shared" si="6"/>
        <v>1</v>
      </c>
      <c r="D10" s="14">
        <f t="shared" si="6"/>
        <v>1</v>
      </c>
      <c r="E10" s="14" t="str">
        <f t="shared" si="0"/>
        <v/>
      </c>
      <c r="F10" s="14" t="str">
        <f t="shared" si="1"/>
        <v/>
      </c>
      <c r="G10" s="14" t="str">
        <f t="shared" si="2"/>
        <v/>
      </c>
      <c r="H10" s="60" t="str">
        <f>'Materials Properties'!H10</f>
        <v>Add to table</v>
      </c>
      <c r="I10" s="60">
        <f>'Materials Properties'!I10</f>
        <v>0</v>
      </c>
      <c r="J10" s="60"/>
      <c r="K10" s="60" t="str">
        <f t="shared" si="3"/>
        <v/>
      </c>
      <c r="L10" s="60" t="str">
        <f t="shared" si="4"/>
        <v/>
      </c>
      <c r="M10" s="60" t="str">
        <f t="shared" si="5"/>
        <v/>
      </c>
      <c r="N10" s="60">
        <f>'Materials Properties'!N10</f>
        <v>0</v>
      </c>
      <c r="O10" s="60"/>
    </row>
    <row r="11" spans="1:15" x14ac:dyDescent="0.3">
      <c r="A11" s="14">
        <v>10</v>
      </c>
      <c r="B11" s="14">
        <f t="shared" si="6"/>
        <v>2</v>
      </c>
      <c r="C11" s="14">
        <f t="shared" si="6"/>
        <v>1</v>
      </c>
      <c r="D11" s="14">
        <f t="shared" si="6"/>
        <v>1</v>
      </c>
      <c r="E11" s="14" t="str">
        <f t="shared" si="0"/>
        <v/>
      </c>
      <c r="F11" s="14" t="str">
        <f t="shared" si="1"/>
        <v/>
      </c>
      <c r="G11" s="14" t="str">
        <f t="shared" si="2"/>
        <v/>
      </c>
      <c r="H11" s="60" t="str">
        <f>'Materials Properties'!H11</f>
        <v>Add to table</v>
      </c>
      <c r="I11" s="60">
        <f>'Materials Properties'!I11</f>
        <v>0</v>
      </c>
      <c r="J11" s="60"/>
      <c r="K11" s="60" t="str">
        <f t="shared" si="3"/>
        <v/>
      </c>
      <c r="L11" s="60" t="str">
        <f t="shared" si="4"/>
        <v/>
      </c>
      <c r="M11" s="60" t="str">
        <f t="shared" si="5"/>
        <v/>
      </c>
      <c r="N11" s="60">
        <f>'Materials Properties'!N11</f>
        <v>0</v>
      </c>
      <c r="O11" s="60"/>
    </row>
    <row r="12" spans="1:15" x14ac:dyDescent="0.3">
      <c r="A12" s="14">
        <v>11</v>
      </c>
      <c r="B12" s="14">
        <f t="shared" si="6"/>
        <v>2</v>
      </c>
      <c r="C12" s="14">
        <f t="shared" si="6"/>
        <v>1</v>
      </c>
      <c r="D12" s="14">
        <f t="shared" si="6"/>
        <v>1</v>
      </c>
      <c r="E12" s="14" t="str">
        <f t="shared" si="0"/>
        <v/>
      </c>
      <c r="F12" s="14" t="str">
        <f t="shared" si="1"/>
        <v/>
      </c>
      <c r="G12" s="14" t="str">
        <f t="shared" si="2"/>
        <v/>
      </c>
      <c r="H12" s="60" t="str">
        <f>'Materials Properties'!H12</f>
        <v>Add to table</v>
      </c>
      <c r="I12" s="60">
        <f>'Materials Properties'!I12</f>
        <v>0</v>
      </c>
      <c r="J12" s="60"/>
      <c r="K12" s="60" t="str">
        <f t="shared" si="3"/>
        <v/>
      </c>
      <c r="L12" s="60" t="str">
        <f t="shared" si="4"/>
        <v/>
      </c>
      <c r="M12" s="60" t="str">
        <f t="shared" si="5"/>
        <v/>
      </c>
      <c r="N12" s="60">
        <f>'Materials Properties'!N12</f>
        <v>0</v>
      </c>
      <c r="O12" s="60"/>
    </row>
    <row r="13" spans="1:15" x14ac:dyDescent="0.3">
      <c r="A13" s="14">
        <v>12</v>
      </c>
      <c r="B13" s="14">
        <f t="shared" si="6"/>
        <v>2</v>
      </c>
      <c r="C13" s="14">
        <f t="shared" si="6"/>
        <v>1</v>
      </c>
      <c r="D13" s="14">
        <f t="shared" si="6"/>
        <v>1</v>
      </c>
      <c r="E13" s="14" t="str">
        <f t="shared" si="0"/>
        <v/>
      </c>
      <c r="F13" s="14" t="str">
        <f t="shared" si="1"/>
        <v/>
      </c>
      <c r="G13" s="14" t="str">
        <f t="shared" si="2"/>
        <v/>
      </c>
      <c r="H13" s="60" t="str">
        <f>'Materials Properties'!H13</f>
        <v>Add to table</v>
      </c>
      <c r="I13" s="60">
        <f>'Materials Properties'!I13</f>
        <v>0</v>
      </c>
      <c r="J13" s="60"/>
      <c r="K13" s="60" t="str">
        <f t="shared" si="3"/>
        <v/>
      </c>
      <c r="L13" s="60" t="str">
        <f t="shared" si="4"/>
        <v/>
      </c>
      <c r="M13" s="60" t="str">
        <f t="shared" si="5"/>
        <v/>
      </c>
      <c r="N13" s="60">
        <f>'Materials Properties'!N13</f>
        <v>0</v>
      </c>
      <c r="O13" s="60"/>
    </row>
    <row r="14" spans="1:15" x14ac:dyDescent="0.3">
      <c r="A14" s="14">
        <v>13</v>
      </c>
      <c r="B14" s="14">
        <f t="shared" si="6"/>
        <v>2</v>
      </c>
      <c r="C14" s="14">
        <f t="shared" si="6"/>
        <v>1</v>
      </c>
      <c r="D14" s="14">
        <f t="shared" si="6"/>
        <v>1</v>
      </c>
      <c r="E14" s="14" t="str">
        <f t="shared" si="0"/>
        <v/>
      </c>
      <c r="F14" s="14" t="str">
        <f t="shared" si="1"/>
        <v/>
      </c>
      <c r="G14" s="14" t="str">
        <f t="shared" si="2"/>
        <v/>
      </c>
      <c r="H14" s="60" t="str">
        <f>'Materials Properties'!H14</f>
        <v>Add to table</v>
      </c>
      <c r="I14" s="60">
        <f>'Materials Properties'!I14</f>
        <v>0</v>
      </c>
      <c r="J14" s="60"/>
      <c r="K14" s="60" t="str">
        <f t="shared" si="3"/>
        <v/>
      </c>
      <c r="L14" s="60" t="str">
        <f t="shared" si="4"/>
        <v/>
      </c>
      <c r="M14" s="60" t="str">
        <f t="shared" si="5"/>
        <v/>
      </c>
      <c r="N14" s="60">
        <f>'Materials Properties'!N14</f>
        <v>0</v>
      </c>
      <c r="O14" s="60"/>
    </row>
    <row r="15" spans="1:15" x14ac:dyDescent="0.3">
      <c r="A15" s="14">
        <v>14</v>
      </c>
      <c r="B15" s="14">
        <f t="shared" si="6"/>
        <v>2</v>
      </c>
      <c r="C15" s="14">
        <f t="shared" si="6"/>
        <v>1</v>
      </c>
      <c r="D15" s="14">
        <f t="shared" si="6"/>
        <v>1</v>
      </c>
      <c r="E15" s="14" t="str">
        <f t="shared" si="0"/>
        <v/>
      </c>
      <c r="F15" s="14" t="str">
        <f t="shared" si="1"/>
        <v/>
      </c>
      <c r="G15" s="14" t="str">
        <f t="shared" si="2"/>
        <v/>
      </c>
      <c r="H15" s="60" t="str">
        <f>'Materials Properties'!H15</f>
        <v>Add to table</v>
      </c>
      <c r="I15" s="60">
        <f>'Materials Properties'!I15</f>
        <v>0</v>
      </c>
      <c r="J15" s="60"/>
      <c r="K15" s="60" t="str">
        <f t="shared" si="3"/>
        <v/>
      </c>
      <c r="L15" s="60" t="str">
        <f t="shared" si="4"/>
        <v/>
      </c>
      <c r="M15" s="60" t="str">
        <f t="shared" si="5"/>
        <v/>
      </c>
      <c r="N15" s="60">
        <f>'Materials Properties'!N15</f>
        <v>0</v>
      </c>
      <c r="O15" s="60"/>
    </row>
    <row r="16" spans="1:15" x14ac:dyDescent="0.3">
      <c r="A16" s="14">
        <v>15</v>
      </c>
      <c r="B16" s="14">
        <f t="shared" si="6"/>
        <v>2</v>
      </c>
      <c r="C16" s="14">
        <f t="shared" si="6"/>
        <v>1</v>
      </c>
      <c r="D16" s="14">
        <f t="shared" si="6"/>
        <v>1</v>
      </c>
      <c r="E16" s="14" t="str">
        <f t="shared" si="0"/>
        <v/>
      </c>
      <c r="F16" s="14" t="str">
        <f t="shared" si="1"/>
        <v/>
      </c>
      <c r="G16" s="14" t="str">
        <f t="shared" si="2"/>
        <v/>
      </c>
      <c r="H16" s="60" t="str">
        <f>'Materials Properties'!H16</f>
        <v>Add to table</v>
      </c>
      <c r="I16" s="60">
        <f>'Materials Properties'!I16</f>
        <v>0</v>
      </c>
      <c r="J16" s="60"/>
      <c r="K16" s="60" t="str">
        <f t="shared" si="3"/>
        <v/>
      </c>
      <c r="L16" s="60" t="str">
        <f t="shared" si="4"/>
        <v/>
      </c>
      <c r="M16" s="60" t="str">
        <f t="shared" si="5"/>
        <v/>
      </c>
      <c r="N16" s="60">
        <f>'Materials Properties'!N16</f>
        <v>0</v>
      </c>
      <c r="O16" s="60"/>
    </row>
    <row r="17" spans="1:15" x14ac:dyDescent="0.3">
      <c r="A17" s="14">
        <v>16</v>
      </c>
      <c r="B17" s="14">
        <f t="shared" si="6"/>
        <v>2</v>
      </c>
      <c r="C17" s="14">
        <f t="shared" si="6"/>
        <v>1</v>
      </c>
      <c r="D17" s="14">
        <f t="shared" si="6"/>
        <v>1</v>
      </c>
      <c r="E17" s="14" t="str">
        <f t="shared" si="0"/>
        <v/>
      </c>
      <c r="F17" s="14" t="str">
        <f t="shared" si="1"/>
        <v/>
      </c>
      <c r="G17" s="14" t="str">
        <f t="shared" si="2"/>
        <v/>
      </c>
      <c r="H17" s="60" t="str">
        <f>'Materials Properties'!H17</f>
        <v>Add to table</v>
      </c>
      <c r="I17" s="60">
        <f>'Materials Properties'!I17</f>
        <v>0</v>
      </c>
      <c r="J17" s="60"/>
      <c r="K17" s="60" t="str">
        <f t="shared" si="3"/>
        <v/>
      </c>
      <c r="L17" s="60" t="str">
        <f t="shared" si="4"/>
        <v/>
      </c>
      <c r="M17" s="60" t="str">
        <f t="shared" si="5"/>
        <v/>
      </c>
      <c r="N17" s="60">
        <f>'Materials Properties'!N17</f>
        <v>0</v>
      </c>
      <c r="O17" s="60"/>
    </row>
    <row r="18" spans="1:15" x14ac:dyDescent="0.3">
      <c r="A18" s="14">
        <v>17</v>
      </c>
      <c r="B18" s="14">
        <f t="shared" si="6"/>
        <v>2</v>
      </c>
      <c r="C18" s="14">
        <f t="shared" si="6"/>
        <v>1</v>
      </c>
      <c r="D18" s="14">
        <f t="shared" si="6"/>
        <v>1</v>
      </c>
      <c r="E18" s="14" t="str">
        <f t="shared" si="0"/>
        <v/>
      </c>
      <c r="F18" s="14" t="str">
        <f t="shared" si="1"/>
        <v/>
      </c>
      <c r="G18" s="14" t="str">
        <f t="shared" si="2"/>
        <v/>
      </c>
      <c r="H18" s="60" t="str">
        <f>'Materials Properties'!H18</f>
        <v>Add to table</v>
      </c>
      <c r="I18" s="60">
        <f>'Materials Properties'!I18</f>
        <v>0</v>
      </c>
      <c r="J18" s="60"/>
      <c r="K18" s="60" t="str">
        <f t="shared" si="3"/>
        <v/>
      </c>
      <c r="L18" s="60" t="str">
        <f t="shared" si="4"/>
        <v/>
      </c>
      <c r="M18" s="60" t="str">
        <f t="shared" si="5"/>
        <v/>
      </c>
      <c r="N18" s="60">
        <f>'Materials Properties'!N18</f>
        <v>0</v>
      </c>
      <c r="O18" s="60"/>
    </row>
    <row r="19" spans="1:15" x14ac:dyDescent="0.3">
      <c r="A19" s="14">
        <v>18</v>
      </c>
      <c r="B19" s="14">
        <f t="shared" si="6"/>
        <v>2</v>
      </c>
      <c r="C19" s="14">
        <f t="shared" si="6"/>
        <v>1</v>
      </c>
      <c r="D19" s="14">
        <f t="shared" si="6"/>
        <v>1</v>
      </c>
      <c r="E19" s="14" t="str">
        <f t="shared" si="0"/>
        <v/>
      </c>
      <c r="F19" s="14" t="str">
        <f t="shared" si="1"/>
        <v/>
      </c>
      <c r="G19" s="14" t="str">
        <f t="shared" si="2"/>
        <v/>
      </c>
      <c r="H19" s="60" t="str">
        <f>'Materials Properties'!H19</f>
        <v>Add to table</v>
      </c>
      <c r="I19" s="60">
        <f>'Materials Properties'!I19</f>
        <v>0</v>
      </c>
      <c r="J19" s="60"/>
      <c r="K19" s="60" t="str">
        <f t="shared" si="3"/>
        <v/>
      </c>
      <c r="L19" s="60" t="str">
        <f t="shared" si="4"/>
        <v/>
      </c>
      <c r="M19" s="60" t="str">
        <f t="shared" si="5"/>
        <v/>
      </c>
      <c r="N19" s="60">
        <f>'Materials Properties'!N19</f>
        <v>0</v>
      </c>
      <c r="O19" s="60"/>
    </row>
    <row r="20" spans="1:15" x14ac:dyDescent="0.3">
      <c r="A20" s="14">
        <v>19</v>
      </c>
      <c r="B20" s="14">
        <f t="shared" si="6"/>
        <v>2</v>
      </c>
      <c r="C20" s="14">
        <f t="shared" si="6"/>
        <v>1</v>
      </c>
      <c r="D20" s="14">
        <f t="shared" si="6"/>
        <v>1</v>
      </c>
      <c r="E20" s="14" t="str">
        <f t="shared" si="0"/>
        <v/>
      </c>
      <c r="F20" s="14" t="str">
        <f t="shared" si="1"/>
        <v/>
      </c>
      <c r="G20" s="14" t="str">
        <f t="shared" si="2"/>
        <v/>
      </c>
      <c r="H20" s="60" t="str">
        <f>'Materials Properties'!H20</f>
        <v>Add to table</v>
      </c>
      <c r="I20" s="60">
        <f>'Materials Properties'!I20</f>
        <v>0</v>
      </c>
      <c r="J20" s="60"/>
      <c r="K20" s="60" t="str">
        <f t="shared" si="3"/>
        <v/>
      </c>
      <c r="L20" s="60" t="str">
        <f t="shared" si="4"/>
        <v/>
      </c>
      <c r="M20" s="60" t="str">
        <f t="shared" si="5"/>
        <v/>
      </c>
      <c r="N20" s="60">
        <f>'Materials Properties'!N20</f>
        <v>0</v>
      </c>
      <c r="O20" s="60"/>
    </row>
    <row r="21" spans="1:15" x14ac:dyDescent="0.3">
      <c r="A21" s="14">
        <v>20</v>
      </c>
      <c r="B21" s="14">
        <f t="shared" si="6"/>
        <v>2</v>
      </c>
      <c r="C21" s="14">
        <f t="shared" si="6"/>
        <v>1</v>
      </c>
      <c r="D21" s="14">
        <f t="shared" si="6"/>
        <v>1</v>
      </c>
      <c r="E21" s="14" t="str">
        <f t="shared" si="0"/>
        <v/>
      </c>
      <c r="F21" s="14" t="str">
        <f t="shared" si="1"/>
        <v/>
      </c>
      <c r="G21" s="14" t="str">
        <f t="shared" si="2"/>
        <v/>
      </c>
      <c r="H21" s="60" t="str">
        <f>'Materials Properties'!H21</f>
        <v>Add to table</v>
      </c>
      <c r="I21" s="60">
        <f>'Materials Properties'!I21</f>
        <v>0</v>
      </c>
      <c r="J21" s="60"/>
      <c r="K21" s="60" t="str">
        <f t="shared" si="3"/>
        <v/>
      </c>
      <c r="L21" s="60" t="str">
        <f t="shared" si="4"/>
        <v/>
      </c>
      <c r="M21" s="60" t="str">
        <f t="shared" si="5"/>
        <v/>
      </c>
      <c r="N21" s="60">
        <f>'Materials Properties'!N21</f>
        <v>0</v>
      </c>
      <c r="O21" s="60"/>
    </row>
    <row r="23" spans="1:15" x14ac:dyDescent="0.3">
      <c r="E23" s="14">
        <f>SUM(E2:E21)</f>
        <v>2705</v>
      </c>
      <c r="F23" s="14">
        <f>SUM(F2:F21)</f>
        <v>2840</v>
      </c>
      <c r="G23" s="14">
        <f>SUM(G2:G21)</f>
        <v>2840</v>
      </c>
      <c r="K23" s="14">
        <f>SUM(K2:K21)</f>
        <v>575</v>
      </c>
      <c r="L23" s="14">
        <f>SUM(L2:L21)</f>
        <v>150</v>
      </c>
      <c r="M23" s="14">
        <f>SUM(M2:M21)</f>
        <v>150</v>
      </c>
    </row>
  </sheetData>
  <hyperlinks>
    <hyperlink ref="J2" r:id="rId1" xr:uid="{923BF9EE-69C0-46EA-8ACA-B6B7F5BF7330}"/>
    <hyperlink ref="J3" r:id="rId2" xr:uid="{F20616EE-F9CF-4617-BBD4-6F7FAE1142F7}"/>
    <hyperlink ref="J4" r:id="rId3" xr:uid="{2C238C70-65CE-4A8E-917E-F1DC3083FE97}"/>
    <hyperlink ref="J5" r:id="rId4" xr:uid="{42110846-6EA5-4281-A450-05FC036B40F2}"/>
    <hyperlink ref="O3:O4" r:id="rId5" display="https://electroheatinduction.com/how-to-calculate-electricity-cost-for-melting-metal-in-induction-melting-furnace/" xr:uid="{27177F32-4D68-4084-AA8A-7B510F845039}"/>
    <hyperlink ref="O5" r:id="rId6" location=":~:text=A%20kilogram%20of%20a%20semi-crystalline%20resin%2C%20such%20as,vs.%20342%29%2C%20yet%20their%20processing%20temperatures%20are%20similar." xr:uid="{65E2CBF7-D0DD-41A6-8B9E-B4733F45C0B7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900E-E691-4F41-9031-A0231DDCC008}">
  <dimension ref="A2:I78"/>
  <sheetViews>
    <sheetView showGridLines="0" workbookViewId="0">
      <selection activeCell="D4" sqref="D4:F4"/>
    </sheetView>
  </sheetViews>
  <sheetFormatPr defaultColWidth="9.109375" defaultRowHeight="14.4" x14ac:dyDescent="0.3"/>
  <cols>
    <col min="1" max="1" width="40.5546875" style="2" bestFit="1" customWidth="1"/>
    <col min="2" max="2" width="6.6640625" style="2" hidden="1" customWidth="1"/>
    <col min="3" max="3" width="9.109375" style="5" bestFit="1" customWidth="1"/>
    <col min="4" max="6" width="18.5546875" style="4" customWidth="1"/>
    <col min="7" max="7" width="6.44140625" style="3" customWidth="1"/>
    <col min="8" max="8" width="62.33203125" style="2" customWidth="1"/>
    <col min="9" max="9" width="49.6640625" style="2" customWidth="1"/>
    <col min="10" max="10" width="9.109375" style="1"/>
    <col min="11" max="11" width="6.6640625" style="1" bestFit="1" customWidth="1"/>
    <col min="12" max="12" width="17.33203125" style="1" bestFit="1" customWidth="1"/>
    <col min="13" max="16384" width="9.109375" style="1"/>
  </cols>
  <sheetData>
    <row r="2" spans="1:9" ht="21" x14ac:dyDescent="0.3">
      <c r="A2" s="70" t="s">
        <v>89</v>
      </c>
      <c r="B2" s="10"/>
      <c r="H2" s="7"/>
    </row>
    <row r="3" spans="1:9" ht="18" x14ac:dyDescent="0.3">
      <c r="A3" s="10"/>
      <c r="B3" s="10"/>
      <c r="H3" s="7"/>
    </row>
    <row r="4" spans="1:9" x14ac:dyDescent="0.3">
      <c r="A4" s="44"/>
      <c r="B4" s="25"/>
      <c r="C4" s="52" t="s">
        <v>88</v>
      </c>
      <c r="D4" s="80" t="s">
        <v>199</v>
      </c>
      <c r="E4" s="80" t="s">
        <v>200</v>
      </c>
      <c r="F4" s="80" t="s">
        <v>201</v>
      </c>
      <c r="G4" s="81" t="s">
        <v>84</v>
      </c>
      <c r="H4" s="45" t="s">
        <v>111</v>
      </c>
      <c r="I4" s="45" t="s">
        <v>104</v>
      </c>
    </row>
    <row r="5" spans="1:9" ht="28.8" x14ac:dyDescent="0.3">
      <c r="A5" s="75" t="s">
        <v>82</v>
      </c>
      <c r="B5" s="75" t="s">
        <v>81</v>
      </c>
      <c r="C5" s="76" t="s">
        <v>0</v>
      </c>
      <c r="D5" s="77">
        <v>10000</v>
      </c>
      <c r="E5" s="77">
        <v>10000</v>
      </c>
      <c r="F5" s="77">
        <v>10000</v>
      </c>
      <c r="G5" s="78">
        <v>73</v>
      </c>
      <c r="H5" s="79" t="s">
        <v>106</v>
      </c>
      <c r="I5" s="79" t="s">
        <v>105</v>
      </c>
    </row>
    <row r="6" spans="1:9" ht="28.8" x14ac:dyDescent="0.3">
      <c r="A6" s="44" t="s">
        <v>80</v>
      </c>
      <c r="B6" s="44" t="s">
        <v>79</v>
      </c>
      <c r="C6" s="46" t="s">
        <v>0</v>
      </c>
      <c r="D6" s="27">
        <v>1000</v>
      </c>
      <c r="E6" s="27">
        <v>1000</v>
      </c>
      <c r="F6" s="27">
        <v>1000</v>
      </c>
      <c r="G6" s="24"/>
      <c r="H6" s="25" t="s">
        <v>78</v>
      </c>
      <c r="I6" s="25"/>
    </row>
    <row r="7" spans="1:9" x14ac:dyDescent="0.3">
      <c r="A7" s="44" t="s">
        <v>77</v>
      </c>
      <c r="B7" s="44" t="s">
        <v>76</v>
      </c>
      <c r="C7" s="46" t="s">
        <v>0</v>
      </c>
      <c r="D7" s="27">
        <f t="shared" ref="D7" si="0">SUM(D5-(2*D6))</f>
        <v>8000</v>
      </c>
      <c r="E7" s="27">
        <f t="shared" ref="E7" si="1">SUM(E5-(2*E6))</f>
        <v>8000</v>
      </c>
      <c r="F7" s="27">
        <f t="shared" ref="F7" si="2">SUM(F5-(2*F6))</f>
        <v>8000</v>
      </c>
      <c r="G7" s="47"/>
      <c r="H7" s="25"/>
      <c r="I7" s="25"/>
    </row>
    <row r="8" spans="1:9" x14ac:dyDescent="0.3">
      <c r="A8" s="44" t="s">
        <v>75</v>
      </c>
      <c r="B8" s="44" t="s">
        <v>74</v>
      </c>
      <c r="C8" s="46" t="s">
        <v>0</v>
      </c>
      <c r="D8" s="27">
        <v>10</v>
      </c>
      <c r="E8" s="27">
        <v>10</v>
      </c>
      <c r="F8" s="27">
        <v>10</v>
      </c>
      <c r="G8" s="47"/>
      <c r="H8" s="25"/>
      <c r="I8" s="25"/>
    </row>
    <row r="9" spans="1:9" x14ac:dyDescent="0.3">
      <c r="A9" s="44" t="s">
        <v>122</v>
      </c>
      <c r="B9" s="44"/>
      <c r="C9" s="46" t="s">
        <v>3</v>
      </c>
      <c r="D9" s="28">
        <f t="shared" ref="D9:F9" si="3">SUM(3.1416/4*((D5*D5)-((D5-(2*D8))*(D5-(2*D8)))))</f>
        <v>313845.83999999997</v>
      </c>
      <c r="E9" s="28">
        <f t="shared" si="3"/>
        <v>313845.83999999997</v>
      </c>
      <c r="F9" s="28">
        <f t="shared" si="3"/>
        <v>313845.83999999997</v>
      </c>
      <c r="G9" s="47"/>
      <c r="H9" s="25" t="s">
        <v>127</v>
      </c>
      <c r="I9" s="25"/>
    </row>
    <row r="10" spans="1:9" ht="28.8" x14ac:dyDescent="0.3">
      <c r="A10" s="44" t="s">
        <v>153</v>
      </c>
      <c r="B10" s="44"/>
      <c r="C10" s="46" t="s">
        <v>3</v>
      </c>
      <c r="D10" s="28">
        <f>(D5-(D8*2))*D8</f>
        <v>99800</v>
      </c>
      <c r="E10" s="28">
        <f>(E5-(E8*2))*E8</f>
        <v>99800</v>
      </c>
      <c r="F10" s="28">
        <f>(F5-(F8*2))*F8</f>
        <v>99800</v>
      </c>
      <c r="G10" s="47"/>
      <c r="H10" s="25" t="s">
        <v>128</v>
      </c>
      <c r="I10" s="25"/>
    </row>
    <row r="11" spans="1:9" ht="28.8" x14ac:dyDescent="0.3">
      <c r="A11" s="44" t="s">
        <v>134</v>
      </c>
      <c r="B11" s="44"/>
      <c r="C11" s="46" t="s">
        <v>9</v>
      </c>
      <c r="D11" s="23">
        <v>40</v>
      </c>
      <c r="E11" s="23">
        <v>40</v>
      </c>
      <c r="F11" s="23">
        <v>40</v>
      </c>
      <c r="G11" s="47"/>
      <c r="H11" s="25" t="s">
        <v>135</v>
      </c>
      <c r="I11" s="25"/>
    </row>
    <row r="12" spans="1:9" ht="28.8" x14ac:dyDescent="0.3">
      <c r="A12" s="44" t="s">
        <v>136</v>
      </c>
      <c r="B12" s="44"/>
      <c r="C12" s="46" t="s">
        <v>3</v>
      </c>
      <c r="D12" s="28">
        <f>D9+D10+(D10*D11)</f>
        <v>4405645.84</v>
      </c>
      <c r="E12" s="28">
        <f>E9+E10+(E10*E11)</f>
        <v>4405645.84</v>
      </c>
      <c r="F12" s="28">
        <f>F9+F10+(F10*F11)</f>
        <v>4405645.84</v>
      </c>
      <c r="G12" s="47"/>
      <c r="H12" s="25" t="s">
        <v>143</v>
      </c>
      <c r="I12" s="25"/>
    </row>
    <row r="13" spans="1:9" x14ac:dyDescent="0.3">
      <c r="A13" s="44" t="s">
        <v>73</v>
      </c>
      <c r="B13" s="44" t="s">
        <v>72</v>
      </c>
      <c r="C13" s="46" t="s">
        <v>58</v>
      </c>
      <c r="D13" s="28">
        <f>SUM(3.1416*3.1416)*(D5/2+D7/2)*(D5/2-D7/2)*(D5/2-D7/2)/4</f>
        <v>22206713759.999996</v>
      </c>
      <c r="E13" s="28">
        <f>SUM(3.1416*3.1416)*(E5/2+E7/2)*(E5/2-E7/2)*(E5/2-E7/2)/4</f>
        <v>22206713759.999996</v>
      </c>
      <c r="F13" s="28">
        <f>SUM(3.1416*3.1416)*(F5/2+F7/2)*(F5/2-F7/2)*(F5/2-F7/2)/4</f>
        <v>22206713759.999996</v>
      </c>
      <c r="G13" s="24"/>
      <c r="H13" s="25"/>
      <c r="I13" s="25"/>
    </row>
    <row r="14" spans="1:9" x14ac:dyDescent="0.3">
      <c r="A14" s="44" t="s">
        <v>71</v>
      </c>
      <c r="B14" s="44"/>
      <c r="C14" s="46" t="s">
        <v>0</v>
      </c>
      <c r="D14" s="49">
        <f>D5-(D8*2)</f>
        <v>9980</v>
      </c>
      <c r="E14" s="49">
        <f>E5-(E8*2)</f>
        <v>9980</v>
      </c>
      <c r="F14" s="49">
        <f>F5-(F8*2)</f>
        <v>9980</v>
      </c>
      <c r="G14" s="24"/>
      <c r="H14" s="25"/>
      <c r="I14" s="25"/>
    </row>
    <row r="15" spans="1:9" x14ac:dyDescent="0.3">
      <c r="A15" s="44" t="s">
        <v>70</v>
      </c>
      <c r="B15" s="44"/>
      <c r="C15" s="46" t="s">
        <v>0</v>
      </c>
      <c r="D15" s="49">
        <f>D7+(D8*2)</f>
        <v>8020</v>
      </c>
      <c r="E15" s="49">
        <f>E7+(E8*2)</f>
        <v>8020</v>
      </c>
      <c r="F15" s="49">
        <f>F7+(F8*2)</f>
        <v>8020</v>
      </c>
      <c r="G15" s="24"/>
      <c r="H15" s="25"/>
      <c r="I15" s="25"/>
    </row>
    <row r="16" spans="1:9" x14ac:dyDescent="0.3">
      <c r="A16" s="44" t="s">
        <v>69</v>
      </c>
      <c r="B16" s="44"/>
      <c r="C16" s="46" t="s">
        <v>58</v>
      </c>
      <c r="D16" s="28">
        <f>SUM(3.1416*3.1416)*(D14/2+D15/2)*(D14/2-D15/2)*(D14/2-D15/2)/4</f>
        <v>21327327895.104</v>
      </c>
      <c r="E16" s="28">
        <f t="shared" ref="E16:F16" si="4">SUM(3.1416*3.1416)*(E14/2+E15/2)*(E14/2-E15/2)*(E14/2-E15/2)/4</f>
        <v>21327327895.104</v>
      </c>
      <c r="F16" s="28">
        <f t="shared" si="4"/>
        <v>21327327895.104</v>
      </c>
      <c r="G16" s="50"/>
      <c r="H16" s="25" t="s">
        <v>68</v>
      </c>
      <c r="I16" s="25"/>
    </row>
    <row r="17" spans="1:9" x14ac:dyDescent="0.3">
      <c r="A17" s="44" t="s">
        <v>67</v>
      </c>
      <c r="B17" s="45"/>
      <c r="C17" s="46" t="s">
        <v>58</v>
      </c>
      <c r="D17" s="28">
        <f>SUM(D13-D16)</f>
        <v>879385864.89599609</v>
      </c>
      <c r="E17" s="28">
        <f>SUM(E13-E16)</f>
        <v>879385864.89599609</v>
      </c>
      <c r="F17" s="28">
        <f>SUM(F13-F16)</f>
        <v>879385864.89599609</v>
      </c>
      <c r="G17" s="24"/>
      <c r="H17" s="25"/>
      <c r="I17" s="25"/>
    </row>
    <row r="18" spans="1:9" ht="28.8" x14ac:dyDescent="0.3">
      <c r="A18" s="44" t="s">
        <v>66</v>
      </c>
      <c r="B18" s="44"/>
      <c r="C18" s="46" t="s">
        <v>58</v>
      </c>
      <c r="D18" s="28">
        <f>(3.1416*D8*D14*(D6-2*D8))</f>
        <v>307261046.39999998</v>
      </c>
      <c r="E18" s="28">
        <f>(3.1416*E8*E14*(E6-2*E8))</f>
        <v>307261046.39999998</v>
      </c>
      <c r="F18" s="28">
        <f>(3.1416*F8*F14*(F6-2*F8))</f>
        <v>307261046.39999998</v>
      </c>
      <c r="G18" s="24"/>
      <c r="H18" s="25" t="s">
        <v>65</v>
      </c>
      <c r="I18" s="25"/>
    </row>
    <row r="19" spans="1:9" x14ac:dyDescent="0.3">
      <c r="A19" s="44" t="s">
        <v>63</v>
      </c>
      <c r="B19" s="45"/>
      <c r="C19" s="46" t="s">
        <v>58</v>
      </c>
      <c r="D19" s="28">
        <f>SUM(D11*D18)+D18</f>
        <v>12597702902.4</v>
      </c>
      <c r="E19" s="28">
        <f>SUM(E11*E18)+E18</f>
        <v>12597702902.4</v>
      </c>
      <c r="F19" s="28">
        <f>SUM(F11*F18)+F18</f>
        <v>12597702902.4</v>
      </c>
      <c r="G19" s="24"/>
      <c r="H19" s="25"/>
      <c r="I19" s="25"/>
    </row>
    <row r="20" spans="1:9" hidden="1" x14ac:dyDescent="0.3">
      <c r="A20" s="45" t="s">
        <v>62</v>
      </c>
      <c r="B20" s="45"/>
      <c r="C20" s="52" t="s">
        <v>58</v>
      </c>
      <c r="D20" s="26">
        <f>D16-D19</f>
        <v>8729624992.7040005</v>
      </c>
      <c r="E20" s="26">
        <f t="shared" ref="E20:F20" si="5">E16-E19</f>
        <v>8729624992.7040005</v>
      </c>
      <c r="F20" s="26">
        <f t="shared" si="5"/>
        <v>8729624992.7040005</v>
      </c>
      <c r="G20" s="69">
        <v>932</v>
      </c>
      <c r="H20" s="25"/>
      <c r="I20" s="25" t="s">
        <v>49</v>
      </c>
    </row>
    <row r="21" spans="1:9" x14ac:dyDescent="0.3">
      <c r="A21" s="45" t="s">
        <v>62</v>
      </c>
      <c r="B21" s="45"/>
      <c r="C21" s="52" t="s">
        <v>167</v>
      </c>
      <c r="D21" s="26">
        <f>D20/1000000000</f>
        <v>8.7296249927040002</v>
      </c>
      <c r="E21" s="26">
        <f t="shared" ref="E21:F21" si="6">E20/1000000000</f>
        <v>8.7296249927040002</v>
      </c>
      <c r="F21" s="26">
        <f t="shared" si="6"/>
        <v>8.7296249927040002</v>
      </c>
      <c r="G21" s="69"/>
      <c r="H21" s="25"/>
      <c r="I21" s="25"/>
    </row>
    <row r="22" spans="1:9" hidden="1" x14ac:dyDescent="0.3">
      <c r="A22" s="45" t="s">
        <v>61</v>
      </c>
      <c r="B22" s="45"/>
      <c r="C22" s="52" t="s">
        <v>58</v>
      </c>
      <c r="D22" s="26">
        <f>D17+D19</f>
        <v>13477088767.295996</v>
      </c>
      <c r="E22" s="26">
        <f>E17+E19</f>
        <v>13477088767.295996</v>
      </c>
      <c r="F22" s="26">
        <f>F17+F19</f>
        <v>13477088767.295996</v>
      </c>
      <c r="G22" s="24"/>
      <c r="H22" s="25"/>
      <c r="I22" s="25"/>
    </row>
    <row r="23" spans="1:9" x14ac:dyDescent="0.3">
      <c r="A23" s="45" t="s">
        <v>61</v>
      </c>
      <c r="B23" s="45"/>
      <c r="C23" s="52" t="s">
        <v>167</v>
      </c>
      <c r="D23" s="26">
        <f>D22/1000000000</f>
        <v>13.477088767295996</v>
      </c>
      <c r="E23" s="26">
        <f t="shared" ref="E23" si="7">E22/1000000000</f>
        <v>13.477088767295996</v>
      </c>
      <c r="F23" s="26">
        <f t="shared" ref="F23" si="8">F22/1000000000</f>
        <v>13.477088767295996</v>
      </c>
      <c r="G23" s="24"/>
      <c r="H23" s="25"/>
      <c r="I23" s="25"/>
    </row>
    <row r="24" spans="1:9" x14ac:dyDescent="0.3">
      <c r="A24" s="44" t="s">
        <v>60</v>
      </c>
      <c r="B24" s="44"/>
      <c r="C24" s="46"/>
      <c r="D24" s="88">
        <v>1000000</v>
      </c>
      <c r="E24" s="88">
        <v>5000000</v>
      </c>
      <c r="F24" s="88">
        <v>10000000</v>
      </c>
      <c r="G24" s="69">
        <v>6</v>
      </c>
      <c r="H24" s="25"/>
      <c r="I24" s="25"/>
    </row>
    <row r="25" spans="1:9" hidden="1" x14ac:dyDescent="0.3">
      <c r="A25" s="45" t="s">
        <v>154</v>
      </c>
      <c r="B25" s="45"/>
      <c r="C25" s="52" t="s">
        <v>3</v>
      </c>
      <c r="D25" s="26">
        <f>3.1416*2*(D5-D7)*D6</f>
        <v>12566400</v>
      </c>
      <c r="E25" s="26">
        <f>3.1416*2*(E5-E7)*E6</f>
        <v>12566400</v>
      </c>
      <c r="F25" s="26">
        <f>3.1416*2*(F5-F7)*F6</f>
        <v>12566400</v>
      </c>
      <c r="G25" s="69"/>
      <c r="H25" s="25"/>
      <c r="I25" s="25"/>
    </row>
    <row r="26" spans="1:9" x14ac:dyDescent="0.3">
      <c r="A26" s="45" t="s">
        <v>154</v>
      </c>
      <c r="B26" s="45"/>
      <c r="C26" s="52" t="s">
        <v>166</v>
      </c>
      <c r="D26" s="26">
        <f>D25/1000000</f>
        <v>12.5664</v>
      </c>
      <c r="E26" s="26">
        <f t="shared" ref="E26:F26" si="9">E25/1000000</f>
        <v>12.5664</v>
      </c>
      <c r="F26" s="26">
        <f t="shared" si="9"/>
        <v>12.5664</v>
      </c>
      <c r="G26" s="69"/>
      <c r="H26" s="25"/>
      <c r="I26" s="25"/>
    </row>
    <row r="27" spans="1:9" x14ac:dyDescent="0.3">
      <c r="A27" s="45" t="s">
        <v>59</v>
      </c>
      <c r="B27" s="45"/>
      <c r="C27" s="52" t="s">
        <v>58</v>
      </c>
      <c r="D27" s="26">
        <f>D20/D24/2</f>
        <v>4364.8124963520004</v>
      </c>
      <c r="E27" s="26">
        <f t="shared" ref="E27" si="10">E20/E24/2</f>
        <v>872.96249927040003</v>
      </c>
      <c r="F27" s="26">
        <f t="shared" ref="F27" si="11">F20/F24/2</f>
        <v>436.48124963520002</v>
      </c>
      <c r="G27" s="69">
        <f>SUM(G20/G24)</f>
        <v>155.33333333333334</v>
      </c>
      <c r="H27" s="25" t="s">
        <v>155</v>
      </c>
      <c r="I27" s="25"/>
    </row>
    <row r="28" spans="1:9" ht="28.8" x14ac:dyDescent="0.3">
      <c r="A28" s="45" t="s">
        <v>137</v>
      </c>
      <c r="B28" s="45"/>
      <c r="C28" s="52" t="s">
        <v>3</v>
      </c>
      <c r="D28" s="26">
        <f>D27/2.5</f>
        <v>1745.9249985408001</v>
      </c>
      <c r="E28" s="26">
        <f t="shared" ref="E28" si="12">E27/2.5</f>
        <v>349.18499970816003</v>
      </c>
      <c r="F28" s="26">
        <f t="shared" ref="F28" si="13">F27/2.5</f>
        <v>174.59249985408002</v>
      </c>
      <c r="G28" s="24"/>
      <c r="H28" s="25" t="s">
        <v>156</v>
      </c>
      <c r="I28" s="25"/>
    </row>
    <row r="29" spans="1:9" x14ac:dyDescent="0.3">
      <c r="A29" s="45" t="s">
        <v>157</v>
      </c>
      <c r="B29" s="45"/>
      <c r="C29" s="52" t="s">
        <v>158</v>
      </c>
      <c r="D29" s="26">
        <f>SUM(D24*62)/1000</f>
        <v>62000</v>
      </c>
      <c r="E29" s="26">
        <f t="shared" ref="E29:F29" si="14">SUM(E24*62)/1000</f>
        <v>310000</v>
      </c>
      <c r="F29" s="26">
        <f t="shared" si="14"/>
        <v>620000</v>
      </c>
      <c r="G29" s="24"/>
      <c r="H29" s="25" t="s">
        <v>160</v>
      </c>
      <c r="I29" s="25" t="s">
        <v>159</v>
      </c>
    </row>
    <row r="30" spans="1:9" x14ac:dyDescent="0.3">
      <c r="D30" s="85"/>
    </row>
    <row r="31" spans="1:9" ht="21" x14ac:dyDescent="0.3">
      <c r="A31" s="70" t="s">
        <v>45</v>
      </c>
      <c r="B31" s="10"/>
    </row>
    <row r="33" spans="1:9" ht="43.2" x14ac:dyDescent="0.3">
      <c r="A33" s="44" t="s">
        <v>44</v>
      </c>
      <c r="B33" s="44"/>
      <c r="C33" s="46" t="s">
        <v>43</v>
      </c>
      <c r="D33" s="36">
        <v>1</v>
      </c>
      <c r="E33" s="36">
        <v>5</v>
      </c>
      <c r="F33" s="36">
        <v>8</v>
      </c>
      <c r="G33" s="24"/>
      <c r="H33" s="25" t="s">
        <v>144</v>
      </c>
      <c r="I33" s="25"/>
    </row>
    <row r="34" spans="1:9" x14ac:dyDescent="0.3">
      <c r="A34" s="44" t="s">
        <v>41</v>
      </c>
      <c r="B34" s="44"/>
      <c r="C34" s="46" t="s">
        <v>38</v>
      </c>
      <c r="D34" s="27">
        <v>2000</v>
      </c>
      <c r="E34" s="27">
        <v>500</v>
      </c>
      <c r="F34" s="27">
        <v>1000</v>
      </c>
      <c r="G34" s="24"/>
      <c r="H34" s="25"/>
      <c r="I34" s="25"/>
    </row>
    <row r="35" spans="1:9" x14ac:dyDescent="0.3">
      <c r="A35" s="44" t="s">
        <v>39</v>
      </c>
      <c r="B35" s="44"/>
      <c r="C35" s="46" t="s">
        <v>38</v>
      </c>
      <c r="D35" s="27">
        <v>1000</v>
      </c>
      <c r="E35" s="27">
        <v>250</v>
      </c>
      <c r="F35" s="27">
        <v>250</v>
      </c>
      <c r="G35" s="24"/>
      <c r="H35" s="25"/>
      <c r="I35" s="25"/>
    </row>
    <row r="36" spans="1:9" x14ac:dyDescent="0.3">
      <c r="A36" s="44" t="s">
        <v>37</v>
      </c>
      <c r="B36" s="44"/>
      <c r="C36" s="46" t="s">
        <v>36</v>
      </c>
      <c r="D36" s="28">
        <f>SUM(D34*D33*D35)</f>
        <v>2000000</v>
      </c>
      <c r="E36" s="28">
        <f t="shared" ref="E36:F36" si="15">SUM(E34*E33*E35)</f>
        <v>625000</v>
      </c>
      <c r="F36" s="28">
        <f t="shared" si="15"/>
        <v>2000000</v>
      </c>
      <c r="G36" s="24"/>
      <c r="H36" s="25" t="s">
        <v>119</v>
      </c>
      <c r="I36" s="25"/>
    </row>
    <row r="37" spans="1:9" x14ac:dyDescent="0.3">
      <c r="A37" s="44" t="s">
        <v>35</v>
      </c>
      <c r="B37" s="44"/>
      <c r="C37" s="46" t="s">
        <v>34</v>
      </c>
      <c r="D37" s="29">
        <f>D33*60/(3.1416*D5)</f>
        <v>1.9098548510313217E-3</v>
      </c>
      <c r="E37" s="29">
        <f>E33*60/(3.1416*E5)</f>
        <v>9.5492742551566076E-3</v>
      </c>
      <c r="F37" s="29">
        <f>F33*60/(3.1416*F5)</f>
        <v>1.5278838808250574E-2</v>
      </c>
      <c r="G37" s="30"/>
      <c r="H37" s="25" t="s">
        <v>33</v>
      </c>
      <c r="I37" s="25"/>
    </row>
    <row r="38" spans="1:9" x14ac:dyDescent="0.3">
      <c r="A38" s="44" t="s">
        <v>32</v>
      </c>
      <c r="B38" s="44"/>
      <c r="C38" s="46"/>
      <c r="D38" s="31">
        <f>D37*D37*1.118*0.001*(D5/2)</f>
        <v>2.0389779635724002E-5</v>
      </c>
      <c r="E38" s="31">
        <f>E37*E37*1.118*0.001*(E5/2)</f>
        <v>5.0974449089310006E-4</v>
      </c>
      <c r="F38" s="31">
        <f>F37*F37*1.118*0.001*(F5/2)</f>
        <v>1.3049458966863361E-3</v>
      </c>
      <c r="G38" s="30"/>
      <c r="H38" s="25" t="s">
        <v>139</v>
      </c>
      <c r="I38" s="25"/>
    </row>
    <row r="39" spans="1:9" ht="28.8" x14ac:dyDescent="0.3">
      <c r="A39" s="44" t="s">
        <v>130</v>
      </c>
      <c r="B39" s="44"/>
      <c r="C39" s="46"/>
      <c r="D39" s="27">
        <v>250</v>
      </c>
      <c r="E39" s="27">
        <v>500</v>
      </c>
      <c r="F39" s="27">
        <v>100</v>
      </c>
      <c r="G39" s="24"/>
      <c r="H39" s="25" t="s">
        <v>30</v>
      </c>
      <c r="I39" s="25"/>
    </row>
    <row r="40" spans="1:9" x14ac:dyDescent="0.3">
      <c r="A40" s="44" t="s">
        <v>29</v>
      </c>
      <c r="B40" s="44"/>
      <c r="C40" s="46" t="s">
        <v>27</v>
      </c>
      <c r="D40" s="53">
        <f>D41/D39</f>
        <v>5680</v>
      </c>
      <c r="E40" s="53">
        <f t="shared" ref="E40:F40" si="16">E41/E39</f>
        <v>1775</v>
      </c>
      <c r="F40" s="53">
        <f t="shared" si="16"/>
        <v>5680</v>
      </c>
      <c r="G40" s="24"/>
      <c r="H40" s="25"/>
      <c r="I40" s="25"/>
    </row>
    <row r="41" spans="1:9" x14ac:dyDescent="0.3">
      <c r="A41" s="44" t="s">
        <v>28</v>
      </c>
      <c r="B41" s="44"/>
      <c r="C41" s="46" t="s">
        <v>27</v>
      </c>
      <c r="D41" s="53">
        <f>SUM(D36*D51*D39)/1000000</f>
        <v>1420000</v>
      </c>
      <c r="E41" s="53">
        <f>SUM(E36*E51*E39)/1000000</f>
        <v>887500</v>
      </c>
      <c r="F41" s="53">
        <f>SUM(F36*F51*F39)/1000000</f>
        <v>568000</v>
      </c>
      <c r="G41" s="30"/>
      <c r="H41" s="25" t="s">
        <v>140</v>
      </c>
      <c r="I41" s="25"/>
    </row>
    <row r="42" spans="1:9" x14ac:dyDescent="0.3">
      <c r="A42" s="44" t="s">
        <v>28</v>
      </c>
      <c r="B42" s="44"/>
      <c r="C42" s="46" t="s">
        <v>168</v>
      </c>
      <c r="D42" s="28">
        <f>D41/1000</f>
        <v>1420</v>
      </c>
      <c r="E42" s="28">
        <f t="shared" ref="E42:F42" si="17">E41/1000</f>
        <v>887.5</v>
      </c>
      <c r="F42" s="28">
        <f t="shared" si="17"/>
        <v>568</v>
      </c>
      <c r="G42" s="30"/>
      <c r="H42" s="25"/>
      <c r="I42" s="25"/>
    </row>
    <row r="43" spans="1:9" x14ac:dyDescent="0.3">
      <c r="A43" s="44" t="s">
        <v>26</v>
      </c>
      <c r="B43" s="44"/>
      <c r="C43" s="46" t="s">
        <v>9</v>
      </c>
      <c r="D43" s="23">
        <v>0.9</v>
      </c>
      <c r="E43" s="23">
        <v>0.9</v>
      </c>
      <c r="F43" s="23">
        <v>0.9</v>
      </c>
      <c r="G43" s="30"/>
      <c r="H43" s="25" t="s">
        <v>25</v>
      </c>
      <c r="I43" s="25"/>
    </row>
    <row r="44" spans="1:9" ht="28.8" x14ac:dyDescent="0.3">
      <c r="A44" s="45" t="s">
        <v>120</v>
      </c>
      <c r="B44" s="45"/>
      <c r="C44" s="90" t="s">
        <v>121</v>
      </c>
      <c r="D44" s="107">
        <f>D12/(D34*D35*D39/1000000)/1000000</f>
        <v>8.8112916799999996E-3</v>
      </c>
      <c r="E44" s="107">
        <f t="shared" ref="E44:F44" si="18">E12/(E34*E35*E39/1000000)/1000000</f>
        <v>7.0490333439999997E-2</v>
      </c>
      <c r="F44" s="107">
        <f t="shared" si="18"/>
        <v>0.17622583359999999</v>
      </c>
      <c r="G44" s="30"/>
      <c r="H44" s="25" t="s">
        <v>141</v>
      </c>
      <c r="I44" s="25"/>
    </row>
    <row r="45" spans="1:9" x14ac:dyDescent="0.3">
      <c r="A45" s="44" t="s">
        <v>23</v>
      </c>
      <c r="B45" s="44"/>
      <c r="C45" s="46" t="s">
        <v>24</v>
      </c>
      <c r="D45" s="28">
        <f>((D44*1000)/D37)/60/24/D43*1000</f>
        <v>3559.8706200987654</v>
      </c>
      <c r="E45" s="28">
        <f>((E44*1000)/E37)/60/24/E43*1000</f>
        <v>5695.7929921580253</v>
      </c>
      <c r="F45" s="28">
        <f>((F44*1000)/F37)/60/24/F43*1000</f>
        <v>8899.6765502469116</v>
      </c>
      <c r="G45" s="30"/>
      <c r="H45" s="1" t="s">
        <v>142</v>
      </c>
      <c r="I45" s="25"/>
    </row>
    <row r="46" spans="1:9" x14ac:dyDescent="0.3">
      <c r="A46" s="45" t="s">
        <v>23</v>
      </c>
      <c r="B46" s="45"/>
      <c r="C46" s="52" t="s">
        <v>22</v>
      </c>
      <c r="D46" s="37">
        <f>SUM(D45)/365</f>
        <v>9.7530701920514122</v>
      </c>
      <c r="E46" s="37">
        <f t="shared" ref="E46:F46" si="19">SUM(E45)/365</f>
        <v>15.604912307282261</v>
      </c>
      <c r="F46" s="37">
        <f t="shared" si="19"/>
        <v>24.382675480128526</v>
      </c>
      <c r="G46" s="30"/>
      <c r="H46" s="25"/>
      <c r="I46" s="25"/>
    </row>
    <row r="47" spans="1:9" x14ac:dyDescent="0.3">
      <c r="A47" s="86"/>
      <c r="B47" s="86"/>
      <c r="C47" s="86"/>
      <c r="D47" s="86"/>
      <c r="E47" s="86"/>
      <c r="F47" s="86"/>
      <c r="G47" s="86"/>
    </row>
    <row r="48" spans="1:9" ht="21" x14ac:dyDescent="0.3">
      <c r="A48" s="70" t="s">
        <v>124</v>
      </c>
      <c r="B48" s="10"/>
    </row>
    <row r="50" spans="1:9" x14ac:dyDescent="0.3">
      <c r="A50" s="44" t="s">
        <v>56</v>
      </c>
      <c r="B50" s="44"/>
      <c r="C50" s="46"/>
      <c r="D50" s="27"/>
      <c r="E50" s="27"/>
      <c r="F50" s="27"/>
      <c r="G50" s="24"/>
      <c r="H50" s="25"/>
      <c r="I50" s="25"/>
    </row>
    <row r="51" spans="1:9" x14ac:dyDescent="0.3">
      <c r="A51" s="44" t="s">
        <v>55</v>
      </c>
      <c r="B51" s="44"/>
      <c r="C51" s="46" t="s">
        <v>54</v>
      </c>
      <c r="D51" s="71">
        <f>'Materials Table 100km'!E23</f>
        <v>2840</v>
      </c>
      <c r="E51" s="71">
        <f>'Materials Table 100km'!F23</f>
        <v>2840</v>
      </c>
      <c r="F51" s="71">
        <f>'Materials Table 100km'!G23</f>
        <v>2840</v>
      </c>
      <c r="G51" s="24"/>
      <c r="H51" s="25" t="s">
        <v>53</v>
      </c>
      <c r="I51" s="25"/>
    </row>
    <row r="52" spans="1:9" x14ac:dyDescent="0.3">
      <c r="A52" s="44" t="s">
        <v>52</v>
      </c>
      <c r="B52" s="44"/>
      <c r="C52" s="46" t="s">
        <v>9</v>
      </c>
      <c r="D52" s="23">
        <v>0.5</v>
      </c>
      <c r="E52" s="23">
        <v>0.5</v>
      </c>
      <c r="F52" s="23">
        <v>0.5</v>
      </c>
      <c r="G52" s="24"/>
      <c r="H52" s="25"/>
      <c r="I52" s="25"/>
    </row>
    <row r="53" spans="1:9" x14ac:dyDescent="0.3">
      <c r="A53" s="45" t="s">
        <v>51</v>
      </c>
      <c r="B53" s="45"/>
      <c r="C53" s="52" t="s">
        <v>50</v>
      </c>
      <c r="D53" s="26">
        <f>SUM(D22)*D51/1000*D52</f>
        <v>19137466049.560314</v>
      </c>
      <c r="E53" s="26">
        <f>SUM(E22)*E51/1000*E52</f>
        <v>19137466049.560314</v>
      </c>
      <c r="F53" s="26">
        <f>SUM(F22)*F51/1000*F52</f>
        <v>19137466049.560314</v>
      </c>
      <c r="G53" s="69">
        <v>420</v>
      </c>
      <c r="H53" s="25"/>
      <c r="I53" s="25" t="s">
        <v>49</v>
      </c>
    </row>
    <row r="54" spans="1:9" ht="57.6" x14ac:dyDescent="0.3">
      <c r="A54" s="45" t="s">
        <v>152</v>
      </c>
      <c r="B54" s="45"/>
      <c r="C54" s="52" t="s">
        <v>9</v>
      </c>
      <c r="D54" s="89">
        <f>D53/POWER(7.33,22)</f>
        <v>1.7766299994347499E-9</v>
      </c>
      <c r="E54" s="89">
        <f t="shared" ref="E54:F54" si="20">E53/POWER(7.33,22)</f>
        <v>1.7766299994347499E-9</v>
      </c>
      <c r="F54" s="89">
        <f t="shared" si="20"/>
        <v>1.7766299994347499E-9</v>
      </c>
      <c r="G54" s="24"/>
      <c r="H54" s="25" t="s">
        <v>161</v>
      </c>
      <c r="I54" s="65" t="s">
        <v>151</v>
      </c>
    </row>
    <row r="55" spans="1:9" ht="57.6" x14ac:dyDescent="0.3">
      <c r="A55" s="45" t="s">
        <v>115</v>
      </c>
      <c r="B55" s="45"/>
      <c r="C55" s="52" t="s">
        <v>116</v>
      </c>
      <c r="D55" s="26">
        <f>D53/D45</f>
        <v>5375888.0846712803</v>
      </c>
      <c r="E55" s="26">
        <f>E53/E45</f>
        <v>3359930.0529195499</v>
      </c>
      <c r="F55" s="26">
        <f>F53/F45</f>
        <v>2150355.2338685123</v>
      </c>
      <c r="G55" s="24"/>
      <c r="H55" s="25" t="s">
        <v>163</v>
      </c>
      <c r="I55" s="65" t="s">
        <v>164</v>
      </c>
    </row>
    <row r="56" spans="1:9" ht="28.8" hidden="1" x14ac:dyDescent="0.3">
      <c r="A56" s="45" t="s">
        <v>48</v>
      </c>
      <c r="B56" s="45"/>
      <c r="C56" s="52"/>
      <c r="D56" s="26">
        <f>SUM(D53/64)</f>
        <v>299022907.02437991</v>
      </c>
      <c r="E56" s="26">
        <f t="shared" ref="E56:F56" si="21">SUM(E53/64)</f>
        <v>299022907.02437991</v>
      </c>
      <c r="F56" s="26">
        <f t="shared" si="21"/>
        <v>299022907.02437991</v>
      </c>
      <c r="G56" s="24"/>
      <c r="H56" s="25" t="s">
        <v>162</v>
      </c>
      <c r="I56" s="65" t="s">
        <v>113</v>
      </c>
    </row>
    <row r="57" spans="1:9" ht="28.8" hidden="1" x14ac:dyDescent="0.3">
      <c r="A57" s="44" t="s">
        <v>132</v>
      </c>
      <c r="B57" s="44"/>
      <c r="C57" s="46" t="s">
        <v>133</v>
      </c>
      <c r="D57" s="87">
        <v>150</v>
      </c>
      <c r="E57" s="87">
        <v>150</v>
      </c>
      <c r="F57" s="87">
        <v>150</v>
      </c>
      <c r="G57" s="24"/>
      <c r="H57" s="25" t="s">
        <v>131</v>
      </c>
      <c r="I57" s="65" t="s">
        <v>113</v>
      </c>
    </row>
    <row r="58" spans="1:9" hidden="1" x14ac:dyDescent="0.3">
      <c r="A58" s="45" t="s">
        <v>46</v>
      </c>
      <c r="B58" s="45"/>
      <c r="C58" s="52" t="s">
        <v>24</v>
      </c>
      <c r="D58" s="37">
        <f>SUM(365/(D56/D46))</f>
        <v>1.1905009738295811E-5</v>
      </c>
      <c r="E58" s="37">
        <f>SUM(365/(E56/E46))</f>
        <v>1.9048015581273296E-5</v>
      </c>
      <c r="F58" s="37">
        <f>SUM(365/(F56/F46))</f>
        <v>2.9762524345739521E-5</v>
      </c>
      <c r="G58" s="24"/>
      <c r="H58" s="25"/>
      <c r="I58" s="25"/>
    </row>
    <row r="59" spans="1:9" hidden="1" x14ac:dyDescent="0.3">
      <c r="A59" s="45" t="s">
        <v>114</v>
      </c>
      <c r="B59" s="45"/>
      <c r="C59" s="52" t="s">
        <v>118</v>
      </c>
      <c r="D59" s="66">
        <f>SUM(D56*D57/1000)</f>
        <v>44853436.053656988</v>
      </c>
      <c r="E59" s="66">
        <f t="shared" ref="E59:F59" si="22">SUM(E56*E57/1000)</f>
        <v>44853436.053656988</v>
      </c>
      <c r="F59" s="66">
        <f t="shared" si="22"/>
        <v>44853436.053656988</v>
      </c>
      <c r="G59" s="24"/>
      <c r="H59" s="25"/>
      <c r="I59" s="25"/>
    </row>
    <row r="61" spans="1:9" ht="21" x14ac:dyDescent="0.3">
      <c r="A61" s="70" t="s">
        <v>21</v>
      </c>
      <c r="B61" s="10"/>
      <c r="G61" s="8"/>
    </row>
    <row r="62" spans="1:9" x14ac:dyDescent="0.3">
      <c r="G62" s="8"/>
    </row>
    <row r="63" spans="1:9" x14ac:dyDescent="0.3">
      <c r="A63" s="44" t="s">
        <v>20</v>
      </c>
      <c r="B63" s="44"/>
      <c r="C63" s="46" t="s">
        <v>19</v>
      </c>
      <c r="D63" s="109">
        <f>'Materials Table 100km'!K$23*3600/1000000</f>
        <v>0.54</v>
      </c>
      <c r="E63" s="109">
        <f>'Materials Table 100km'!L$23*3600/1000000</f>
        <v>0.54</v>
      </c>
      <c r="F63" s="109">
        <f>'Materials Table 100km'!M$23*3600/1000000</f>
        <v>0.54</v>
      </c>
      <c r="G63" s="30"/>
      <c r="H63" s="25"/>
      <c r="I63" s="25"/>
    </row>
    <row r="64" spans="1:9" x14ac:dyDescent="0.3">
      <c r="A64" s="44" t="s">
        <v>18</v>
      </c>
      <c r="B64" s="44"/>
      <c r="C64" s="46" t="s">
        <v>17</v>
      </c>
      <c r="D64" s="28">
        <f>SUM(D53*D63)</f>
        <v>10334231666.762569</v>
      </c>
      <c r="E64" s="28">
        <f>SUM(E53*E63)</f>
        <v>10334231666.762569</v>
      </c>
      <c r="F64" s="28">
        <f>SUM(F53*F63)</f>
        <v>10334231666.762569</v>
      </c>
      <c r="G64" s="30"/>
      <c r="H64" s="25"/>
      <c r="I64" s="25"/>
    </row>
    <row r="65" spans="1:9" ht="27.6" x14ac:dyDescent="0.3">
      <c r="A65" s="44" t="s">
        <v>107</v>
      </c>
      <c r="B65" s="44"/>
      <c r="C65" s="46" t="s">
        <v>9</v>
      </c>
      <c r="D65" s="23">
        <v>0.7</v>
      </c>
      <c r="E65" s="23">
        <v>0.7</v>
      </c>
      <c r="F65" s="23">
        <v>0.7</v>
      </c>
      <c r="G65" s="30"/>
      <c r="H65" s="110" t="s">
        <v>149</v>
      </c>
      <c r="I65" s="25"/>
    </row>
    <row r="66" spans="1:9" ht="43.2" x14ac:dyDescent="0.3">
      <c r="A66" s="45" t="s">
        <v>16</v>
      </c>
      <c r="B66" s="45"/>
      <c r="C66" s="52" t="s">
        <v>198</v>
      </c>
      <c r="D66" s="26">
        <f t="shared" ref="D66:E66" si="23">D63*1000*D41/D65/1000000</f>
        <v>1095.4285714285716</v>
      </c>
      <c r="E66" s="26">
        <f t="shared" si="23"/>
        <v>684.64285714285722</v>
      </c>
      <c r="F66" s="26">
        <f>F63*1000*F41/F65/1000000</f>
        <v>438.17142857142858</v>
      </c>
      <c r="G66" s="111">
        <v>120</v>
      </c>
      <c r="H66" s="25" t="s">
        <v>165</v>
      </c>
      <c r="I66" s="25"/>
    </row>
    <row r="67" spans="1:9" ht="28.8" x14ac:dyDescent="0.3">
      <c r="A67" s="44" t="s">
        <v>13</v>
      </c>
      <c r="B67" s="44"/>
      <c r="C67" s="46" t="s">
        <v>12</v>
      </c>
      <c r="D67" s="71">
        <v>1365</v>
      </c>
      <c r="E67" s="71">
        <v>1365</v>
      </c>
      <c r="F67" s="71">
        <v>1365</v>
      </c>
      <c r="G67" s="112"/>
      <c r="H67" s="25" t="s">
        <v>145</v>
      </c>
      <c r="I67" s="113" t="s">
        <v>11</v>
      </c>
    </row>
    <row r="68" spans="1:9" x14ac:dyDescent="0.3">
      <c r="A68" s="44" t="s">
        <v>10</v>
      </c>
      <c r="B68" s="44"/>
      <c r="C68" s="46" t="s">
        <v>9</v>
      </c>
      <c r="D68" s="23">
        <v>0.4</v>
      </c>
      <c r="E68" s="23">
        <v>0.4</v>
      </c>
      <c r="F68" s="23">
        <v>0.4</v>
      </c>
      <c r="G68" s="30"/>
      <c r="H68" s="25"/>
      <c r="I68" s="25"/>
    </row>
    <row r="69" spans="1:9" ht="28.8" x14ac:dyDescent="0.3">
      <c r="A69" s="45" t="s">
        <v>148</v>
      </c>
      <c r="B69" s="45"/>
      <c r="C69" s="52" t="s">
        <v>3</v>
      </c>
      <c r="D69" s="26">
        <f>SUM(D66*1000000/D67)*1000/D68</f>
        <v>2006279434.8508635</v>
      </c>
      <c r="E69" s="26">
        <f t="shared" ref="E69:F69" si="24">SUM(E66*1000000/E67)*1000/E68</f>
        <v>1253924646.7817898</v>
      </c>
      <c r="F69" s="26">
        <f t="shared" si="24"/>
        <v>802511773.94034541</v>
      </c>
      <c r="G69" s="24"/>
      <c r="H69" s="25" t="s">
        <v>146</v>
      </c>
      <c r="I69" s="113" t="s">
        <v>7</v>
      </c>
    </row>
    <row r="70" spans="1:9" x14ac:dyDescent="0.3">
      <c r="A70" s="44" t="s">
        <v>2</v>
      </c>
      <c r="B70" s="44"/>
      <c r="C70" s="46" t="s">
        <v>0</v>
      </c>
      <c r="D70" s="28">
        <f>SQRT(D69)</f>
        <v>44791.510745350657</v>
      </c>
      <c r="E70" s="28">
        <f>SQRT(E69)</f>
        <v>35410.79844880358</v>
      </c>
      <c r="F70" s="28">
        <f>SQRT(F69)</f>
        <v>28328.63875904286</v>
      </c>
      <c r="G70" s="111">
        <f>SQRT(G72)</f>
        <v>50</v>
      </c>
      <c r="H70" s="25" t="s">
        <v>6</v>
      </c>
      <c r="I70" s="25"/>
    </row>
    <row r="71" spans="1:9" x14ac:dyDescent="0.3">
      <c r="A71" s="44" t="s">
        <v>1</v>
      </c>
      <c r="B71" s="44"/>
      <c r="C71" s="46" t="s">
        <v>0</v>
      </c>
      <c r="D71" s="28">
        <f>SQRT(D69*4/3.14)</f>
        <v>50554.623732174456</v>
      </c>
      <c r="E71" s="28">
        <f>SQRT(E69*4/3.14)</f>
        <v>39966.939311618371</v>
      </c>
      <c r="F71" s="28">
        <f>SQRT(F69*4/3.14)</f>
        <v>31973.551449294693</v>
      </c>
      <c r="G71" s="111">
        <f>SQRT(G72*4/3.14)</f>
        <v>56.433264798310034</v>
      </c>
      <c r="H71" s="25" t="s">
        <v>5</v>
      </c>
      <c r="I71" s="25"/>
    </row>
    <row r="72" spans="1:9" x14ac:dyDescent="0.3">
      <c r="A72" s="45" t="s">
        <v>4</v>
      </c>
      <c r="B72" s="45"/>
      <c r="C72" s="52" t="s">
        <v>3</v>
      </c>
      <c r="D72" s="26">
        <f>D66/$G66*1000000*$G72/D65</f>
        <v>32602040816.326534</v>
      </c>
      <c r="E72" s="26">
        <f t="shared" ref="E72:F72" si="25">E66/$G66*1000000*$G72/E65</f>
        <v>20376275510.204086</v>
      </c>
      <c r="F72" s="26">
        <f t="shared" si="25"/>
        <v>13040816326.530615</v>
      </c>
      <c r="G72" s="111">
        <v>2500</v>
      </c>
      <c r="H72" s="25" t="s">
        <v>147</v>
      </c>
      <c r="I72" s="25"/>
    </row>
    <row r="73" spans="1:9" x14ac:dyDescent="0.3">
      <c r="A73" s="44" t="s">
        <v>2</v>
      </c>
      <c r="B73" s="44"/>
      <c r="C73" s="46" t="s">
        <v>0</v>
      </c>
      <c r="D73" s="28">
        <f>SQRT(D72)</f>
        <v>180560.35228235056</v>
      </c>
      <c r="E73" s="28">
        <f>SQRT(E72)</f>
        <v>142745.49208365247</v>
      </c>
      <c r="F73" s="28">
        <f>SQRT(F72)</f>
        <v>114196.39366692197</v>
      </c>
      <c r="G73" s="24"/>
      <c r="H73" s="25"/>
      <c r="I73" s="25"/>
    </row>
    <row r="74" spans="1:9" x14ac:dyDescent="0.3">
      <c r="A74" s="44" t="s">
        <v>1</v>
      </c>
      <c r="B74" s="44"/>
      <c r="C74" s="46" t="s">
        <v>0</v>
      </c>
      <c r="D74" s="28">
        <f>SQRT(D72*4/3.14)</f>
        <v>203792.20344852065</v>
      </c>
      <c r="E74" s="28">
        <f>SQRT(E72*4/3.14)</f>
        <v>161111.88307043654</v>
      </c>
      <c r="F74" s="28">
        <f>SQRT(F72*4/3.14)</f>
        <v>128889.50645634923</v>
      </c>
      <c r="G74" s="24"/>
      <c r="H74" s="25"/>
      <c r="I74" s="25"/>
    </row>
    <row r="76" spans="1:9" x14ac:dyDescent="0.3">
      <c r="A76" s="27" t="s">
        <v>109</v>
      </c>
    </row>
    <row r="77" spans="1:9" x14ac:dyDescent="0.3">
      <c r="A77" s="68" t="s">
        <v>110</v>
      </c>
    </row>
    <row r="78" spans="1:9" x14ac:dyDescent="0.3">
      <c r="A78" s="21" t="s">
        <v>117</v>
      </c>
    </row>
  </sheetData>
  <phoneticPr fontId="7" type="noConversion"/>
  <hyperlinks>
    <hyperlink ref="I67" r:id="rId1" xr:uid="{A101C94B-6D37-4D45-8DED-79DA6192BFB2}"/>
    <hyperlink ref="I69" r:id="rId2" xr:uid="{D6084E0D-F66B-45A5-9B6C-AB4F11F1EFF5}"/>
    <hyperlink ref="I56" r:id="rId3" xr:uid="{05F60D9B-A563-4112-B608-B42D9292E0EE}"/>
    <hyperlink ref="I57" r:id="rId4" xr:uid="{BB0BA76A-FD0E-4425-91FF-8D04E8B5ECB5}"/>
    <hyperlink ref="I54" r:id="rId5" location=":~:text=The%20moon%27s%20mass%20is%207.35%20x%2010%2022,3.34%20grams%20per%20cubic%20centimeter%20%283.34%20g%2Fcm%203%29." xr:uid="{23467DEB-A8BD-4CD1-A960-FE5511DF7E88}"/>
    <hyperlink ref="I29" r:id="rId6" xr:uid="{C530AD92-9180-477F-8074-DDFEB9267A0C}"/>
    <hyperlink ref="I55" r:id="rId7" location=":~:text=It%20is%20estimated%20that%20the%20pyramid%20weighs%20approximately,is%20seen%20today%20is%20the%20underlying%20core%20structure." xr:uid="{6101D70F-A0E6-40E8-9CE9-4C8D0AB97DFA}"/>
  </hyperlinks>
  <pageMargins left="0.7" right="0.7" top="0.75" bottom="0.75" header="0.3" footer="0.3"/>
  <pageSetup paperSize="9" orientation="portrait" horizontalDpi="4294967293" verticalDpi="300" r:id="rId8"/>
  <drawing r:id="rId9"/>
  <legacyDrawing r:id="rId10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11" name="Drop Down 1">
              <controlPr defaultSize="0" autoLine="0" autoPict="0">
                <anchor moveWithCells="1">
                  <from>
                    <xdr:col>2</xdr:col>
                    <xdr:colOff>609600</xdr:colOff>
                    <xdr:row>48</xdr:row>
                    <xdr:rowOff>175260</xdr:rowOff>
                  </from>
                  <to>
                    <xdr:col>4</xdr:col>
                    <xdr:colOff>7620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12" name="Drop Down 2">
              <controlPr defaultSize="0" autoLine="0" autoPict="0">
                <anchor moveWithCells="1">
                  <from>
                    <xdr:col>4</xdr:col>
                    <xdr:colOff>0</xdr:colOff>
                    <xdr:row>48</xdr:row>
                    <xdr:rowOff>182880</xdr:rowOff>
                  </from>
                  <to>
                    <xdr:col>5</xdr:col>
                    <xdr:colOff>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13" name="Drop Down 3">
              <controlPr defaultSize="0" autoLine="0" autoPict="0">
                <anchor moveWithCells="1">
                  <from>
                    <xdr:col>5</xdr:col>
                    <xdr:colOff>0</xdr:colOff>
                    <xdr:row>48</xdr:row>
                    <xdr:rowOff>175260</xdr:rowOff>
                  </from>
                  <to>
                    <xdr:col>6</xdr:col>
                    <xdr:colOff>0</xdr:colOff>
                    <xdr:row>50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CAF3-71A5-46A8-B018-182191050FC6}">
  <dimension ref="A1:G47"/>
  <sheetViews>
    <sheetView workbookViewId="0">
      <selection activeCell="D14" sqref="D14"/>
    </sheetView>
  </sheetViews>
  <sheetFormatPr defaultRowHeight="14.4" x14ac:dyDescent="0.3"/>
  <cols>
    <col min="1" max="1" width="26.6640625" customWidth="1"/>
    <col min="2" max="3" width="17.33203125" bestFit="1" customWidth="1"/>
    <col min="4" max="4" width="36.88671875" bestFit="1" customWidth="1"/>
  </cols>
  <sheetData>
    <row r="1" spans="1:4" x14ac:dyDescent="0.3">
      <c r="A1" s="25" t="s">
        <v>44</v>
      </c>
      <c r="B1" s="95">
        <v>0.5</v>
      </c>
      <c r="C1" s="96" t="s">
        <v>43</v>
      </c>
      <c r="D1" t="str">
        <f>CONCATENATE(A1," ",B1," ",C1)</f>
        <v>Print Speed 0.5 m/s</v>
      </c>
    </row>
    <row r="2" spans="1:4" x14ac:dyDescent="0.3">
      <c r="A2" s="25" t="s">
        <v>41</v>
      </c>
      <c r="B2" s="88">
        <v>4</v>
      </c>
      <c r="C2" s="96" t="s">
        <v>38</v>
      </c>
      <c r="D2" t="str">
        <f t="shared" ref="D2:D5" si="0">CONCATENATE(A2," ",B2," ",C2)</f>
        <v>Nozzle Diameter 4 mm</v>
      </c>
    </row>
    <row r="3" spans="1:4" x14ac:dyDescent="0.3">
      <c r="A3" s="25" t="s">
        <v>39</v>
      </c>
      <c r="B3" s="88">
        <v>2</v>
      </c>
      <c r="C3" s="96" t="s">
        <v>38</v>
      </c>
      <c r="D3" t="str">
        <f t="shared" si="0"/>
        <v>Print Depth 2 mm</v>
      </c>
    </row>
    <row r="4" spans="1:4" x14ac:dyDescent="0.3">
      <c r="A4" s="25" t="s">
        <v>37</v>
      </c>
      <c r="B4" s="88">
        <v>4</v>
      </c>
      <c r="C4" s="96" t="s">
        <v>36</v>
      </c>
      <c r="D4" t="str">
        <f t="shared" si="0"/>
        <v>Nozzle volumetric flow rate 4 cm3/s</v>
      </c>
    </row>
    <row r="5" spans="1:4" x14ac:dyDescent="0.3">
      <c r="A5" s="25" t="s">
        <v>29</v>
      </c>
      <c r="B5" s="97">
        <v>1.082E-2</v>
      </c>
      <c r="C5" s="96" t="s">
        <v>27</v>
      </c>
      <c r="D5" t="str">
        <f t="shared" si="0"/>
        <v>Flow Rate per Nozzles 0.01082 kg/s</v>
      </c>
    </row>
    <row r="8" spans="1:4" x14ac:dyDescent="0.3">
      <c r="A8" s="25" t="s">
        <v>44</v>
      </c>
      <c r="B8" s="36">
        <v>1</v>
      </c>
      <c r="C8" s="96" t="s">
        <v>43</v>
      </c>
      <c r="D8" t="str">
        <f>CONCATENATE(A8," ",B8," ",C8)</f>
        <v>Print Speed 1 m/s</v>
      </c>
    </row>
    <row r="9" spans="1:4" x14ac:dyDescent="0.3">
      <c r="A9" s="25" t="s">
        <v>41</v>
      </c>
      <c r="B9" s="27">
        <v>100</v>
      </c>
      <c r="C9" s="96" t="s">
        <v>38</v>
      </c>
      <c r="D9" t="str">
        <f t="shared" ref="D9:D12" si="1">CONCATENATE(A9," ",B9," ",C9)</f>
        <v>Nozzle Diameter 100 mm</v>
      </c>
    </row>
    <row r="10" spans="1:4" x14ac:dyDescent="0.3">
      <c r="A10" s="25" t="s">
        <v>39</v>
      </c>
      <c r="B10" s="27">
        <v>20</v>
      </c>
      <c r="C10" s="96" t="s">
        <v>38</v>
      </c>
      <c r="D10" t="str">
        <f t="shared" si="1"/>
        <v>Print Depth 20 mm</v>
      </c>
    </row>
    <row r="11" spans="1:4" x14ac:dyDescent="0.3">
      <c r="A11" s="25" t="s">
        <v>37</v>
      </c>
      <c r="B11" s="28">
        <v>2000</v>
      </c>
      <c r="C11" s="96" t="s">
        <v>36</v>
      </c>
      <c r="D11" t="str">
        <f t="shared" si="1"/>
        <v>Nozzle volumetric flow rate 2000 cm3/s</v>
      </c>
    </row>
    <row r="12" spans="1:4" x14ac:dyDescent="0.3">
      <c r="A12" s="25" t="s">
        <v>29</v>
      </c>
      <c r="B12" s="53">
        <v>5.68</v>
      </c>
      <c r="C12" s="96" t="s">
        <v>27</v>
      </c>
      <c r="D12" t="str">
        <f t="shared" si="1"/>
        <v>Flow Rate per Nozzles 5.68 kg/s</v>
      </c>
    </row>
    <row r="15" spans="1:4" x14ac:dyDescent="0.3">
      <c r="A15" s="25" t="s">
        <v>44</v>
      </c>
      <c r="B15" s="36">
        <v>10</v>
      </c>
      <c r="C15" s="96" t="s">
        <v>43</v>
      </c>
      <c r="D15" t="str">
        <f>CONCATENATE(A15," ",B15," ",C15)</f>
        <v>Print Speed 10 m/s</v>
      </c>
    </row>
    <row r="16" spans="1:4" x14ac:dyDescent="0.3">
      <c r="A16" s="25" t="s">
        <v>41</v>
      </c>
      <c r="B16" s="27">
        <v>2</v>
      </c>
      <c r="C16" s="96" t="s">
        <v>0</v>
      </c>
      <c r="D16" t="str">
        <f t="shared" ref="D16:D19" si="2">CONCATENATE(A16," ",B16," ",C16)</f>
        <v>Nozzle Diameter 2 m</v>
      </c>
    </row>
    <row r="17" spans="1:4" x14ac:dyDescent="0.3">
      <c r="A17" s="25" t="s">
        <v>39</v>
      </c>
      <c r="B17" s="27">
        <v>1</v>
      </c>
      <c r="C17" s="96" t="s">
        <v>0</v>
      </c>
      <c r="D17" t="str">
        <f t="shared" si="2"/>
        <v>Print Depth 1 m</v>
      </c>
    </row>
    <row r="18" spans="1:4" x14ac:dyDescent="0.3">
      <c r="A18" s="25" t="s">
        <v>37</v>
      </c>
      <c r="B18" s="28">
        <v>20</v>
      </c>
      <c r="C18" s="96" t="s">
        <v>184</v>
      </c>
      <c r="D18" t="str">
        <f t="shared" si="2"/>
        <v>Nozzle volumetric flow rate 20 m3/s</v>
      </c>
    </row>
    <row r="19" spans="1:4" x14ac:dyDescent="0.3">
      <c r="A19" s="25" t="s">
        <v>29</v>
      </c>
      <c r="B19" s="53">
        <v>56.8</v>
      </c>
      <c r="C19" s="96" t="s">
        <v>185</v>
      </c>
      <c r="D19" t="str">
        <f t="shared" si="2"/>
        <v>Flow Rate per Nozzles 56.8 ton/s</v>
      </c>
    </row>
    <row r="21" spans="1:4" x14ac:dyDescent="0.3">
      <c r="A21" s="2" t="s">
        <v>51</v>
      </c>
      <c r="B21" s="26">
        <v>494</v>
      </c>
      <c r="C21" s="5" t="s">
        <v>172</v>
      </c>
      <c r="D21" t="str">
        <f>CONCATENATE(A21," ",B21," ",C21)</f>
        <v>Total Mass 494 tons</v>
      </c>
    </row>
    <row r="22" spans="1:4" x14ac:dyDescent="0.3">
      <c r="A22" s="2" t="s">
        <v>186</v>
      </c>
      <c r="B22" s="98">
        <v>0.16</v>
      </c>
      <c r="C22" s="5" t="s">
        <v>187</v>
      </c>
      <c r="D22" t="str">
        <f t="shared" ref="D22" si="3">CONCATENATE(A22," ",B22," ",C22)</f>
        <v>Production Rate 0.16 tons/day</v>
      </c>
    </row>
    <row r="25" spans="1:4" x14ac:dyDescent="0.3">
      <c r="A25" s="2" t="s">
        <v>51</v>
      </c>
      <c r="B25" s="66">
        <v>2.6</v>
      </c>
      <c r="C25" s="5" t="s">
        <v>190</v>
      </c>
      <c r="D25" t="str">
        <f>CONCATENATE(A25," ",B25," ",C25)</f>
        <v>Total Mass 2.6 million tons</v>
      </c>
    </row>
    <row r="26" spans="1:4" x14ac:dyDescent="0.3">
      <c r="A26" s="2" t="s">
        <v>186</v>
      </c>
      <c r="B26" s="99">
        <v>665.6</v>
      </c>
      <c r="C26" s="5" t="s">
        <v>187</v>
      </c>
      <c r="D26" t="str">
        <f t="shared" ref="D26" si="4">CONCATENATE(A26," ",B26," ",C26)</f>
        <v>Production Rate 665.6 tons/day</v>
      </c>
    </row>
    <row r="29" spans="1:4" x14ac:dyDescent="0.3">
      <c r="A29" s="2" t="s">
        <v>51</v>
      </c>
      <c r="B29" s="66">
        <v>3.9</v>
      </c>
      <c r="C29" s="5" t="s">
        <v>189</v>
      </c>
      <c r="D29" t="str">
        <f>CONCATENATE(A29," ",B29," ",C29)</f>
        <v>Total Mass 3.9 trillion tons</v>
      </c>
    </row>
    <row r="30" spans="1:4" x14ac:dyDescent="0.3">
      <c r="A30" s="2" t="s">
        <v>186</v>
      </c>
      <c r="B30" s="100">
        <v>438</v>
      </c>
      <c r="C30" t="s">
        <v>188</v>
      </c>
      <c r="D30" t="str">
        <f t="shared" ref="D30" si="5">CONCATENATE(A30," ",B30," ",C30)</f>
        <v>Production Rate 438 million tons / day</v>
      </c>
    </row>
    <row r="34" spans="1:7" x14ac:dyDescent="0.3">
      <c r="A34" s="56" t="s">
        <v>16</v>
      </c>
      <c r="B34">
        <v>128</v>
      </c>
      <c r="C34" t="s">
        <v>191</v>
      </c>
      <c r="D34" t="str">
        <f t="shared" ref="D34:D47" si="6">CONCATENATE(A34," ",B34," ",C34)</f>
        <v>Continuous Power 128 KW</v>
      </c>
    </row>
    <row r="35" spans="1:7" ht="28.8" x14ac:dyDescent="0.3">
      <c r="A35" s="56" t="s">
        <v>148</v>
      </c>
      <c r="B35" s="22">
        <v>234</v>
      </c>
      <c r="C35" t="s">
        <v>3</v>
      </c>
      <c r="D35" t="str">
        <f t="shared" si="6"/>
        <v>Theoretical Minimum Panel Size 234 m2</v>
      </c>
      <c r="E35">
        <v>1365</v>
      </c>
      <c r="F35">
        <v>1365</v>
      </c>
      <c r="G35">
        <v>1365</v>
      </c>
    </row>
    <row r="36" spans="1:7" x14ac:dyDescent="0.3">
      <c r="A36" s="54" t="s">
        <v>2</v>
      </c>
      <c r="B36" s="99">
        <v>15</v>
      </c>
      <c r="C36" t="s">
        <v>0</v>
      </c>
      <c r="D36" t="str">
        <f t="shared" si="6"/>
        <v>Square Sides 15 m</v>
      </c>
    </row>
    <row r="37" spans="1:7" x14ac:dyDescent="0.3">
      <c r="A37" s="54" t="s">
        <v>1</v>
      </c>
      <c r="B37" s="99">
        <v>17</v>
      </c>
      <c r="C37" t="s">
        <v>0</v>
      </c>
      <c r="D37" t="str">
        <f t="shared" si="6"/>
        <v>Diameter 17 m</v>
      </c>
    </row>
    <row r="38" spans="1:7" x14ac:dyDescent="0.3">
      <c r="D38" t="str">
        <f t="shared" si="6"/>
        <v xml:space="preserve">  </v>
      </c>
    </row>
    <row r="39" spans="1:7" x14ac:dyDescent="0.3">
      <c r="A39" s="56" t="s">
        <v>16</v>
      </c>
      <c r="B39">
        <v>70</v>
      </c>
      <c r="C39" t="s">
        <v>192</v>
      </c>
      <c r="D39" t="str">
        <f t="shared" si="6"/>
        <v>Continuous Power 70 MW</v>
      </c>
    </row>
    <row r="40" spans="1:7" ht="28.8" x14ac:dyDescent="0.3">
      <c r="A40" s="56" t="s">
        <v>148</v>
      </c>
      <c r="B40" s="22">
        <v>128401</v>
      </c>
      <c r="C40" t="s">
        <v>3</v>
      </c>
      <c r="D40" t="str">
        <f t="shared" si="6"/>
        <v>Theoretical Minimum Panel Size 128401 m2</v>
      </c>
    </row>
    <row r="41" spans="1:7" x14ac:dyDescent="0.3">
      <c r="A41" s="54" t="s">
        <v>2</v>
      </c>
      <c r="B41" s="99">
        <v>358</v>
      </c>
      <c r="C41" t="s">
        <v>0</v>
      </c>
      <c r="D41" t="str">
        <f t="shared" si="6"/>
        <v>Square Sides 358 m</v>
      </c>
    </row>
    <row r="42" spans="1:7" x14ac:dyDescent="0.3">
      <c r="A42" s="54" t="s">
        <v>1</v>
      </c>
      <c r="B42" s="99">
        <v>404</v>
      </c>
      <c r="C42" t="s">
        <v>0</v>
      </c>
      <c r="D42" t="str">
        <f t="shared" si="6"/>
        <v>Diameter 404 m</v>
      </c>
    </row>
    <row r="43" spans="1:7" x14ac:dyDescent="0.3">
      <c r="D43" t="str">
        <f t="shared" si="6"/>
        <v xml:space="preserve">  </v>
      </c>
    </row>
    <row r="44" spans="1:7" x14ac:dyDescent="0.3">
      <c r="A44" s="56" t="s">
        <v>16</v>
      </c>
      <c r="B44">
        <v>43.8</v>
      </c>
      <c r="C44" t="s">
        <v>193</v>
      </c>
      <c r="D44" t="str">
        <f t="shared" si="6"/>
        <v>Continuous Power 43.8 TW</v>
      </c>
    </row>
    <row r="45" spans="1:7" ht="28.8" x14ac:dyDescent="0.3">
      <c r="A45" s="56" t="s">
        <v>148</v>
      </c>
      <c r="B45" s="22">
        <v>80251</v>
      </c>
      <c r="C45" t="s">
        <v>166</v>
      </c>
      <c r="D45" t="str">
        <f t="shared" si="6"/>
        <v>Theoretical Minimum Panel Size 80251 km2</v>
      </c>
    </row>
    <row r="46" spans="1:7" x14ac:dyDescent="0.3">
      <c r="A46" s="54" t="s">
        <v>2</v>
      </c>
      <c r="B46">
        <v>283</v>
      </c>
      <c r="C46" t="s">
        <v>194</v>
      </c>
      <c r="D46" t="str">
        <f t="shared" si="6"/>
        <v>Square Sides 283 km</v>
      </c>
    </row>
    <row r="47" spans="1:7" x14ac:dyDescent="0.3">
      <c r="A47" s="54" t="s">
        <v>1</v>
      </c>
      <c r="B47">
        <v>320</v>
      </c>
      <c r="C47" t="s">
        <v>194</v>
      </c>
      <c r="D47" t="str">
        <f t="shared" si="6"/>
        <v>Diameter 320 km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220F-B94A-47AC-96A1-86D4BDDFDF4D}">
  <dimension ref="A8:K36"/>
  <sheetViews>
    <sheetView topLeftCell="B7" workbookViewId="0">
      <selection activeCell="P31" sqref="P31"/>
    </sheetView>
  </sheetViews>
  <sheetFormatPr defaultRowHeight="14.4" x14ac:dyDescent="0.3"/>
  <cols>
    <col min="1" max="1" width="28.44140625" customWidth="1"/>
    <col min="4" max="5" width="18.33203125" bestFit="1" customWidth="1"/>
    <col min="6" max="6" width="17.5546875" bestFit="1" customWidth="1"/>
    <col min="7" max="7" width="11.33203125" bestFit="1" customWidth="1"/>
  </cols>
  <sheetData>
    <row r="8" spans="1:11" x14ac:dyDescent="0.3">
      <c r="A8" s="44"/>
      <c r="B8" s="25"/>
      <c r="C8" s="52" t="s">
        <v>88</v>
      </c>
      <c r="D8" s="80" t="s">
        <v>87</v>
      </c>
      <c r="E8" s="80" t="s">
        <v>86</v>
      </c>
      <c r="F8" s="80" t="s">
        <v>85</v>
      </c>
    </row>
    <row r="9" spans="1:11" x14ac:dyDescent="0.3">
      <c r="A9" s="75" t="s">
        <v>82</v>
      </c>
      <c r="B9" s="75" t="s">
        <v>81</v>
      </c>
      <c r="C9" s="76" t="s">
        <v>0</v>
      </c>
      <c r="D9" s="77">
        <v>100000</v>
      </c>
      <c r="E9" s="77">
        <v>41000</v>
      </c>
      <c r="F9" s="77">
        <v>200000</v>
      </c>
      <c r="G9" s="104">
        <v>100000</v>
      </c>
    </row>
    <row r="10" spans="1:11" x14ac:dyDescent="0.3">
      <c r="A10" s="44" t="s">
        <v>80</v>
      </c>
      <c r="B10" s="44" t="s">
        <v>79</v>
      </c>
      <c r="C10" s="46" t="s">
        <v>0</v>
      </c>
      <c r="D10" s="27">
        <v>10000</v>
      </c>
      <c r="E10" s="27">
        <v>20500</v>
      </c>
      <c r="F10" s="27">
        <v>6800</v>
      </c>
      <c r="G10" s="103">
        <f>G9/G11</f>
        <v>20000</v>
      </c>
    </row>
    <row r="11" spans="1:11" x14ac:dyDescent="0.3">
      <c r="A11" s="44" t="s">
        <v>195</v>
      </c>
      <c r="B11" s="44"/>
      <c r="C11" s="46"/>
      <c r="D11" s="101">
        <f>D9/D10</f>
        <v>10</v>
      </c>
      <c r="E11" s="101">
        <f t="shared" ref="E11:F11" si="0">E9/E10</f>
        <v>2</v>
      </c>
      <c r="F11" s="101">
        <f t="shared" si="0"/>
        <v>29.411764705882351</v>
      </c>
      <c r="G11" s="102">
        <v>5</v>
      </c>
      <c r="H11" s="102">
        <v>6</v>
      </c>
      <c r="I11" s="102">
        <v>7</v>
      </c>
      <c r="J11" s="102">
        <v>8</v>
      </c>
      <c r="K11" s="102">
        <v>9</v>
      </c>
    </row>
    <row r="12" spans="1:11" x14ac:dyDescent="0.3">
      <c r="A12" s="44" t="s">
        <v>77</v>
      </c>
      <c r="B12" s="44" t="s">
        <v>76</v>
      </c>
      <c r="C12" s="46" t="s">
        <v>0</v>
      </c>
      <c r="D12" s="27">
        <f>SUM(D9-(2*D10))</f>
        <v>80000</v>
      </c>
      <c r="E12" s="27">
        <f t="shared" ref="E12:F12" si="1">SUM(E9-(2*E10))</f>
        <v>0</v>
      </c>
      <c r="F12" s="27">
        <f t="shared" si="1"/>
        <v>186400</v>
      </c>
    </row>
    <row r="13" spans="1:11" x14ac:dyDescent="0.3">
      <c r="A13" s="44" t="s">
        <v>75</v>
      </c>
      <c r="B13" s="44" t="s">
        <v>74</v>
      </c>
      <c r="C13" s="46" t="s">
        <v>0</v>
      </c>
      <c r="D13" s="27">
        <v>10</v>
      </c>
      <c r="E13" s="27">
        <v>10</v>
      </c>
      <c r="F13" s="27">
        <v>10</v>
      </c>
    </row>
    <row r="14" spans="1:11" hidden="1" x14ac:dyDescent="0.3">
      <c r="A14" s="44" t="s">
        <v>122</v>
      </c>
      <c r="B14" s="44"/>
      <c r="C14" s="46" t="s">
        <v>3</v>
      </c>
      <c r="D14" s="28">
        <f t="shared" ref="D14:F14" si="2">SUM(3.1416/4*((D9*D9)-((D9-(2*D13))*(D9-(2*D13)))))</f>
        <v>3141285.84</v>
      </c>
      <c r="E14" s="28">
        <f t="shared" si="2"/>
        <v>1287741.8400000001</v>
      </c>
      <c r="F14" s="28">
        <f t="shared" si="2"/>
        <v>6282885.8399999999</v>
      </c>
    </row>
    <row r="15" spans="1:11" hidden="1" x14ac:dyDescent="0.3">
      <c r="A15" s="44" t="s">
        <v>153</v>
      </c>
      <c r="B15" s="44"/>
      <c r="C15" s="46" t="s">
        <v>3</v>
      </c>
      <c r="D15" s="28">
        <f>(D9-(D13*2))*D13</f>
        <v>999800</v>
      </c>
      <c r="E15" s="28">
        <f>(E9-(E13*2))*E13</f>
        <v>409800</v>
      </c>
      <c r="F15" s="28">
        <f>(F9-(F13*2))*F13</f>
        <v>1999800</v>
      </c>
    </row>
    <row r="16" spans="1:11" hidden="1" x14ac:dyDescent="0.3">
      <c r="A16" s="44" t="s">
        <v>134</v>
      </c>
      <c r="B16" s="44"/>
      <c r="C16" s="46" t="s">
        <v>9</v>
      </c>
      <c r="D16" s="23">
        <v>40</v>
      </c>
      <c r="E16" s="23">
        <v>40</v>
      </c>
      <c r="F16" s="23">
        <v>40</v>
      </c>
    </row>
    <row r="17" spans="1:6" hidden="1" x14ac:dyDescent="0.3">
      <c r="A17" s="44" t="s">
        <v>136</v>
      </c>
      <c r="B17" s="44"/>
      <c r="C17" s="46" t="s">
        <v>3</v>
      </c>
      <c r="D17" s="28">
        <f>D14+D15+(D15*D16)</f>
        <v>44133085.840000004</v>
      </c>
      <c r="E17" s="28">
        <f>E14+E15+(E15*E16)</f>
        <v>18089541.84</v>
      </c>
      <c r="F17" s="28">
        <f>F14+F15+(F15*F16)</f>
        <v>88274685.840000004</v>
      </c>
    </row>
    <row r="18" spans="1:6" hidden="1" x14ac:dyDescent="0.3">
      <c r="A18" s="44" t="s">
        <v>73</v>
      </c>
      <c r="B18" s="44" t="s">
        <v>72</v>
      </c>
      <c r="C18" s="46" t="s">
        <v>58</v>
      </c>
      <c r="D18" s="28">
        <f>SUM(3.1416*3.1416)*(D9/2+D12/2)*(D9/2-D12/2)*(D9/2-D12/2)/4</f>
        <v>22206713760000</v>
      </c>
      <c r="E18" s="28">
        <f>SUM(3.1416*3.1416)*(E9/2+E12/2)*(E9/2-E12/2)*(E9/2-E12/2)/4</f>
        <v>21257068320180</v>
      </c>
      <c r="F18" s="28">
        <f>SUM(3.1416*3.1416)*(F9/2+F12/2)*(F9/2-F12/2)*(F9/2-F12/2)/4</f>
        <v>22042798603499.52</v>
      </c>
    </row>
    <row r="19" spans="1:6" hidden="1" x14ac:dyDescent="0.3">
      <c r="A19" s="44" t="s">
        <v>71</v>
      </c>
      <c r="B19" s="44"/>
      <c r="C19" s="46" t="s">
        <v>0</v>
      </c>
      <c r="D19" s="49">
        <f>D9-(D13*2)</f>
        <v>99980</v>
      </c>
      <c r="E19" s="49">
        <f>E9-(E13*2)</f>
        <v>40980</v>
      </c>
      <c r="F19" s="49">
        <f>F9-(F13*2)</f>
        <v>199980</v>
      </c>
    </row>
    <row r="20" spans="1:6" hidden="1" x14ac:dyDescent="0.3">
      <c r="A20" s="44" t="s">
        <v>70</v>
      </c>
      <c r="B20" s="44"/>
      <c r="C20" s="46" t="s">
        <v>0</v>
      </c>
      <c r="D20" s="49">
        <f>D12+(D13*2)</f>
        <v>80020</v>
      </c>
      <c r="E20" s="49">
        <f>E12+(E13*2)</f>
        <v>20</v>
      </c>
      <c r="F20" s="49">
        <f>F12+(F13*2)</f>
        <v>186420</v>
      </c>
    </row>
    <row r="21" spans="1:6" hidden="1" x14ac:dyDescent="0.3">
      <c r="A21" s="44" t="s">
        <v>69</v>
      </c>
      <c r="B21" s="44"/>
      <c r="C21" s="46" t="s">
        <v>58</v>
      </c>
      <c r="D21" s="28">
        <f>SUM(3.1416*3.1416)*(D19/2+D20/2)*(D19/2-D20/2)*(D19/2-D20/2)/4</f>
        <v>22117975731815.043</v>
      </c>
      <c r="E21" s="28">
        <f t="shared" ref="E21:F21" si="3">SUM(3.1416*3.1416)*(E19/2+E20/2)*(E19/2-E20/2)*(E19/2-E20/2)/4</f>
        <v>21215611346485.25</v>
      </c>
      <c r="F21" s="28">
        <f t="shared" si="3"/>
        <v>21913325763951.281</v>
      </c>
    </row>
    <row r="22" spans="1:6" hidden="1" x14ac:dyDescent="0.3">
      <c r="A22" s="44" t="s">
        <v>67</v>
      </c>
      <c r="B22" s="45"/>
      <c r="C22" s="46" t="s">
        <v>58</v>
      </c>
      <c r="D22" s="28">
        <f>SUM(D18-D21)</f>
        <v>88738028184.957031</v>
      </c>
      <c r="E22" s="28">
        <f>SUM(E18-E21)</f>
        <v>41456973694.75</v>
      </c>
      <c r="F22" s="28">
        <f>SUM(F18-F21)</f>
        <v>129472839548.23828</v>
      </c>
    </row>
    <row r="23" spans="1:6" hidden="1" x14ac:dyDescent="0.3">
      <c r="A23" s="44" t="s">
        <v>66</v>
      </c>
      <c r="B23" s="44"/>
      <c r="C23" s="46" t="s">
        <v>58</v>
      </c>
      <c r="D23" s="28">
        <f>(3.1416*D13*D19*(D10-2*D13))</f>
        <v>31346897366.400002</v>
      </c>
      <c r="E23" s="28">
        <f>(3.1416*E13*E19*(E10-2*E13))</f>
        <v>26366518886.399998</v>
      </c>
      <c r="F23" s="28">
        <f>(3.1416*F13*F19*(F10-2*F13))</f>
        <v>42595835990.400002</v>
      </c>
    </row>
    <row r="24" spans="1:6" hidden="1" x14ac:dyDescent="0.3">
      <c r="A24" s="44" t="s">
        <v>63</v>
      </c>
      <c r="B24" s="45"/>
      <c r="C24" s="46" t="s">
        <v>58</v>
      </c>
      <c r="D24" s="28">
        <f>SUM(D16*D23)+D23</f>
        <v>1285222792022.3999</v>
      </c>
      <c r="E24" s="28">
        <f>SUM(E16*E23)+E23</f>
        <v>1081027274342.3999</v>
      </c>
      <c r="F24" s="28">
        <f>SUM(F16*F23)+F23</f>
        <v>1746429275606.3999</v>
      </c>
    </row>
    <row r="25" spans="1:6" hidden="1" x14ac:dyDescent="0.3">
      <c r="A25" s="45" t="s">
        <v>62</v>
      </c>
      <c r="B25" s="45"/>
      <c r="C25" s="52" t="s">
        <v>58</v>
      </c>
      <c r="D25" s="26">
        <f>D21-D24</f>
        <v>20832752939792.645</v>
      </c>
      <c r="E25" s="26">
        <f t="shared" ref="E25:F25" si="4">E21-E24</f>
        <v>20134584072142.852</v>
      </c>
      <c r="F25" s="26">
        <f t="shared" si="4"/>
        <v>20166896488344.883</v>
      </c>
    </row>
    <row r="26" spans="1:6" x14ac:dyDescent="0.3">
      <c r="A26" s="45" t="s">
        <v>62</v>
      </c>
      <c r="B26" s="45"/>
      <c r="C26" s="52" t="s">
        <v>167</v>
      </c>
      <c r="D26" s="26">
        <f>D25/1000000000</f>
        <v>20832.752939792645</v>
      </c>
      <c r="E26" s="26">
        <f t="shared" ref="E26:F26" si="5">E25/1000000000</f>
        <v>20134.58407214285</v>
      </c>
      <c r="F26" s="26">
        <f t="shared" si="5"/>
        <v>20166.896488344883</v>
      </c>
    </row>
    <row r="27" spans="1:6" x14ac:dyDescent="0.3">
      <c r="A27" s="45" t="s">
        <v>61</v>
      </c>
      <c r="B27" s="45"/>
      <c r="C27" s="52" t="s">
        <v>58</v>
      </c>
      <c r="D27" s="26">
        <f>D22+D24</f>
        <v>1373960820207.3569</v>
      </c>
      <c r="E27" s="26">
        <f>E22+E24</f>
        <v>1122484248037.1499</v>
      </c>
      <c r="F27" s="26">
        <f>F22+F24</f>
        <v>1875902115154.6382</v>
      </c>
    </row>
    <row r="28" spans="1:6" x14ac:dyDescent="0.3">
      <c r="A28" s="45" t="s">
        <v>61</v>
      </c>
      <c r="B28" s="45"/>
      <c r="C28" s="52" t="s">
        <v>167</v>
      </c>
      <c r="D28" s="26">
        <f>D27/1000000000</f>
        <v>1373.9608202073568</v>
      </c>
      <c r="E28" s="26">
        <f t="shared" ref="E28:F28" si="6">E27/1000000000</f>
        <v>1122.4842480371499</v>
      </c>
      <c r="F28" s="26">
        <f t="shared" si="6"/>
        <v>1875.9021151546383</v>
      </c>
    </row>
    <row r="29" spans="1:6" x14ac:dyDescent="0.3">
      <c r="A29" s="44" t="s">
        <v>60</v>
      </c>
      <c r="B29" s="44"/>
      <c r="C29" s="46"/>
      <c r="D29" s="88">
        <v>10000000</v>
      </c>
      <c r="E29" s="88">
        <v>100000000</v>
      </c>
      <c r="F29" s="88">
        <v>1000000000</v>
      </c>
    </row>
    <row r="30" spans="1:6" x14ac:dyDescent="0.3">
      <c r="A30" s="45" t="s">
        <v>154</v>
      </c>
      <c r="B30" s="45"/>
      <c r="C30" s="52" t="s">
        <v>3</v>
      </c>
      <c r="D30" s="26">
        <f>3.1416*2*(D9-D12)*D10</f>
        <v>1256640000</v>
      </c>
      <c r="E30" s="26">
        <f>3.1416*2*(E9-E12)*E10</f>
        <v>5281029600</v>
      </c>
      <c r="F30" s="26">
        <f>3.1416*2*(F9-F12)*F10</f>
        <v>581070336</v>
      </c>
    </row>
    <row r="31" spans="1:6" x14ac:dyDescent="0.3">
      <c r="A31" s="45" t="s">
        <v>154</v>
      </c>
      <c r="B31" s="45"/>
      <c r="C31" s="52" t="s">
        <v>166</v>
      </c>
      <c r="D31" s="26">
        <f>D30/1000000</f>
        <v>1256.6400000000001</v>
      </c>
      <c r="E31" s="26">
        <f t="shared" ref="E31:F31" si="7">E30/1000000</f>
        <v>5281.0295999999998</v>
      </c>
      <c r="F31" s="26">
        <f t="shared" si="7"/>
        <v>581.070336</v>
      </c>
    </row>
    <row r="32" spans="1:6" x14ac:dyDescent="0.3">
      <c r="A32" s="45" t="s">
        <v>59</v>
      </c>
      <c r="B32" s="45"/>
      <c r="C32" s="52" t="s">
        <v>58</v>
      </c>
      <c r="D32" s="26">
        <f>D25/D29/2</f>
        <v>1041637.6469896323</v>
      </c>
      <c r="E32" s="26">
        <f t="shared" ref="E32:F32" si="8">E25/E29/2</f>
        <v>100672.92036071426</v>
      </c>
      <c r="F32" s="26">
        <f t="shared" si="8"/>
        <v>10083.448244172441</v>
      </c>
    </row>
    <row r="33" spans="1:6" ht="28.8" x14ac:dyDescent="0.3">
      <c r="A33" s="45" t="s">
        <v>137</v>
      </c>
      <c r="B33" s="45"/>
      <c r="C33" s="52" t="s">
        <v>3</v>
      </c>
      <c r="D33" s="26">
        <f>D32/2.5</f>
        <v>416655.05879585294</v>
      </c>
      <c r="E33" s="26">
        <f t="shared" ref="E33:F33" si="9">E32/2.5</f>
        <v>40269.168144285701</v>
      </c>
      <c r="F33" s="26">
        <f t="shared" si="9"/>
        <v>4033.3792976689765</v>
      </c>
    </row>
    <row r="34" spans="1:6" x14ac:dyDescent="0.3">
      <c r="A34" s="45" t="s">
        <v>157</v>
      </c>
      <c r="B34" s="45"/>
      <c r="C34" s="52" t="s">
        <v>158</v>
      </c>
      <c r="D34" s="26">
        <f>SUM(D29*62)/1000</f>
        <v>620000</v>
      </c>
      <c r="E34" s="26">
        <f t="shared" ref="E34:F34" si="10">SUM(E29*62)/1000</f>
        <v>6200000</v>
      </c>
      <c r="F34" s="26">
        <f t="shared" si="10"/>
        <v>62000000</v>
      </c>
    </row>
    <row r="35" spans="1:6" x14ac:dyDescent="0.3">
      <c r="D35" s="106">
        <f>E11</f>
        <v>2</v>
      </c>
      <c r="E35" s="106">
        <f>D11</f>
        <v>10</v>
      </c>
      <c r="F35" s="106">
        <f t="shared" ref="F35" si="11">F11</f>
        <v>29.411764705882351</v>
      </c>
    </row>
    <row r="36" spans="1:6" x14ac:dyDescent="0.3">
      <c r="D36" s="105">
        <v>1</v>
      </c>
      <c r="E36" s="105">
        <f>SUM(1-(D28-E28)/E28)</f>
        <v>0.77596427512461263</v>
      </c>
      <c r="F36" s="105">
        <f>SUM(1-(F28-E28)/E28)</f>
        <v>0.32879426287276226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1251-1F1B-4474-AD01-D23CD4F521D2}">
  <dimension ref="A1:J16"/>
  <sheetViews>
    <sheetView workbookViewId="0">
      <selection activeCell="F28" sqref="F28"/>
    </sheetView>
  </sheetViews>
  <sheetFormatPr defaultColWidth="9.109375" defaultRowHeight="14.4" x14ac:dyDescent="0.3"/>
  <cols>
    <col min="1" max="1" width="39" customWidth="1"/>
  </cols>
  <sheetData>
    <row r="1" spans="1:10" x14ac:dyDescent="0.3">
      <c r="B1" t="s">
        <v>87</v>
      </c>
      <c r="C1" t="s">
        <v>86</v>
      </c>
      <c r="D1" t="s">
        <v>85</v>
      </c>
      <c r="H1" t="s">
        <v>87</v>
      </c>
      <c r="I1" t="s">
        <v>86</v>
      </c>
      <c r="J1" t="s">
        <v>85</v>
      </c>
    </row>
    <row r="2" spans="1:10" x14ac:dyDescent="0.3">
      <c r="A2" s="2" t="s">
        <v>75</v>
      </c>
      <c r="B2" s="64">
        <f>'Basic Calcs 10km'!D8*100</f>
        <v>1000</v>
      </c>
      <c r="C2" s="64">
        <f>'Basic Calcs 10km'!E8*100</f>
        <v>1000</v>
      </c>
      <c r="D2" s="64">
        <f>'Basic Calcs 10km'!F8*100</f>
        <v>1000</v>
      </c>
      <c r="E2" s="5" t="s">
        <v>112</v>
      </c>
      <c r="G2" t="s">
        <v>75</v>
      </c>
      <c r="H2">
        <v>2</v>
      </c>
      <c r="I2">
        <v>5</v>
      </c>
      <c r="J2">
        <v>10</v>
      </c>
    </row>
    <row r="3" spans="1:10" x14ac:dyDescent="0.3">
      <c r="A3" s="2" t="s">
        <v>23</v>
      </c>
      <c r="B3">
        <f>'Basic Calcs 10km'!D46</f>
        <v>9.7530701920514122</v>
      </c>
      <c r="C3">
        <f>'Basic Calcs 10km'!E46</f>
        <v>15.604912307282261</v>
      </c>
      <c r="D3">
        <f>'Basic Calcs 10km'!F46</f>
        <v>24.382675480128526</v>
      </c>
      <c r="E3" s="5" t="s">
        <v>22</v>
      </c>
      <c r="G3" t="s">
        <v>23</v>
      </c>
      <c r="H3">
        <v>1.0791824363775266</v>
      </c>
      <c r="I3">
        <v>2.6836218436072485</v>
      </c>
      <c r="J3">
        <v>5.3195182069169888</v>
      </c>
    </row>
    <row r="5" spans="1:10" x14ac:dyDescent="0.3">
      <c r="A5" s="2" t="s">
        <v>75</v>
      </c>
      <c r="B5" s="64">
        <f>B2</f>
        <v>1000</v>
      </c>
      <c r="C5" s="64">
        <f t="shared" ref="C5:D5" si="0">C2</f>
        <v>1000</v>
      </c>
      <c r="D5" s="64">
        <f t="shared" si="0"/>
        <v>1000</v>
      </c>
    </row>
    <row r="6" spans="1:10" x14ac:dyDescent="0.3">
      <c r="A6" s="2" t="s">
        <v>48</v>
      </c>
      <c r="B6">
        <f>'Basic Calcs 10km'!D56</f>
        <v>299022907.02437991</v>
      </c>
      <c r="C6">
        <f>'Basic Calcs 10km'!E56</f>
        <v>299022907.02437991</v>
      </c>
      <c r="D6">
        <f>'Basic Calcs 10km'!F56</f>
        <v>299022907.02437991</v>
      </c>
    </row>
    <row r="7" spans="1:10" x14ac:dyDescent="0.3">
      <c r="A7" s="2"/>
    </row>
    <row r="8" spans="1:10" x14ac:dyDescent="0.3">
      <c r="A8" s="2" t="s">
        <v>61</v>
      </c>
      <c r="B8">
        <f>'Basic Calcs 10km'!D22</f>
        <v>13477088767.295996</v>
      </c>
      <c r="C8">
        <f>'Basic Calcs 10km'!E22</f>
        <v>13477088767.295996</v>
      </c>
      <c r="D8">
        <f>'Basic Calcs 10km'!F22</f>
        <v>13477088767.295996</v>
      </c>
      <c r="E8" s="5" t="s">
        <v>58</v>
      </c>
    </row>
    <row r="9" spans="1:10" x14ac:dyDescent="0.3">
      <c r="A9" s="2" t="s">
        <v>60</v>
      </c>
      <c r="B9">
        <f>'Basic Calcs 10km'!D24</f>
        <v>1000000</v>
      </c>
      <c r="C9">
        <f>'Basic Calcs 10km'!E24</f>
        <v>5000000</v>
      </c>
      <c r="D9">
        <f>'Basic Calcs 10km'!F24</f>
        <v>10000000</v>
      </c>
      <c r="E9" s="5"/>
    </row>
    <row r="10" spans="1:10" x14ac:dyDescent="0.3">
      <c r="A10" s="2" t="s">
        <v>59</v>
      </c>
      <c r="B10">
        <f>'Basic Calcs 10km'!D27</f>
        <v>4364.8124963520004</v>
      </c>
      <c r="C10">
        <f>'Basic Calcs 10km'!E27</f>
        <v>872.96249927040003</v>
      </c>
      <c r="D10">
        <f>'Basic Calcs 10km'!F27</f>
        <v>436.48124963520002</v>
      </c>
      <c r="E10" s="5" t="s">
        <v>58</v>
      </c>
    </row>
    <row r="11" spans="1:10" x14ac:dyDescent="0.3">
      <c r="A11" s="2" t="s">
        <v>51</v>
      </c>
      <c r="B11">
        <f>'Basic Calcs 10km'!D53</f>
        <v>19137466049.560314</v>
      </c>
      <c r="C11">
        <f>'Basic Calcs 10km'!E53</f>
        <v>19137466049.560314</v>
      </c>
      <c r="D11">
        <f>'Basic Calcs 10km'!F53</f>
        <v>19137466049.560314</v>
      </c>
      <c r="E11" s="5" t="s">
        <v>50</v>
      </c>
    </row>
    <row r="12" spans="1:10" x14ac:dyDescent="0.3">
      <c r="E12" s="5"/>
    </row>
    <row r="13" spans="1:10" x14ac:dyDescent="0.3">
      <c r="A13" s="2" t="s">
        <v>46</v>
      </c>
      <c r="B13">
        <f>'Basic Calcs 10km'!D58</f>
        <v>1.1905009738295811E-5</v>
      </c>
      <c r="C13">
        <f>'Basic Calcs 10km'!E58</f>
        <v>1.9048015581273296E-5</v>
      </c>
      <c r="D13">
        <f>'Basic Calcs 10km'!F58</f>
        <v>2.9762524345739521E-5</v>
      </c>
      <c r="E13" s="5" t="s">
        <v>24</v>
      </c>
    </row>
    <row r="15" spans="1:10" x14ac:dyDescent="0.3">
      <c r="A15" s="2" t="s">
        <v>16</v>
      </c>
      <c r="B15">
        <f>'Basic Calcs 10km'!D66</f>
        <v>1095.4285714285716</v>
      </c>
      <c r="C15">
        <f>'Basic Calcs 10km'!E66</f>
        <v>684.64285714285722</v>
      </c>
      <c r="D15">
        <f>'Basic Calcs 10km'!F66</f>
        <v>438.17142857142858</v>
      </c>
      <c r="E15" s="5" t="s">
        <v>15</v>
      </c>
    </row>
    <row r="16" spans="1:10" x14ac:dyDescent="0.3">
      <c r="A16" s="2" t="s">
        <v>8</v>
      </c>
      <c r="B16">
        <f>'Basic Calcs 10km'!D69</f>
        <v>2006279434.8508635</v>
      </c>
      <c r="C16">
        <f>'Basic Calcs 10km'!E69</f>
        <v>1253924646.7817898</v>
      </c>
      <c r="D16">
        <f>'Basic Calcs 10km'!F69</f>
        <v>802511773.94034541</v>
      </c>
      <c r="E16" s="5" t="s">
        <v>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C734-CF56-4C3C-B63F-6547E3C64BFC}">
  <dimension ref="A1:O23"/>
  <sheetViews>
    <sheetView showGridLines="0" topLeftCell="H1" workbookViewId="0">
      <selection activeCell="N2" sqref="N2:N21"/>
    </sheetView>
  </sheetViews>
  <sheetFormatPr defaultColWidth="9.109375" defaultRowHeight="14.4" x14ac:dyDescent="0.3"/>
  <cols>
    <col min="1" max="7" width="0" style="14" hidden="1" customWidth="1"/>
    <col min="8" max="8" width="15.44140625" style="14" bestFit="1" customWidth="1"/>
    <col min="9" max="9" width="10.5546875" style="15" customWidth="1"/>
    <col min="10" max="10" width="65.6640625" style="14" customWidth="1"/>
    <col min="11" max="13" width="9.33203125" style="14" hidden="1" customWidth="1"/>
    <col min="14" max="14" width="11.5546875" style="15" bestFit="1" customWidth="1"/>
    <col min="15" max="15" width="65.6640625" style="14" customWidth="1"/>
    <col min="16" max="16384" width="9.109375" style="14"/>
  </cols>
  <sheetData>
    <row r="1" spans="1:15" ht="28.8" x14ac:dyDescent="0.3">
      <c r="E1" s="14">
        <v>1</v>
      </c>
      <c r="F1" s="14">
        <v>2</v>
      </c>
      <c r="G1" s="14">
        <v>3</v>
      </c>
      <c r="H1" s="58" t="s">
        <v>103</v>
      </c>
      <c r="I1" s="59" t="s">
        <v>102</v>
      </c>
      <c r="J1" s="58" t="s">
        <v>83</v>
      </c>
      <c r="K1" s="58"/>
      <c r="L1" s="58"/>
      <c r="M1" s="58"/>
      <c r="N1" s="59" t="s">
        <v>101</v>
      </c>
      <c r="O1" s="58" t="s">
        <v>83</v>
      </c>
    </row>
    <row r="2" spans="1:15" x14ac:dyDescent="0.3">
      <c r="A2" s="14">
        <v>1</v>
      </c>
      <c r="B2" s="14">
        <v>1</v>
      </c>
      <c r="C2" s="14">
        <v>1</v>
      </c>
      <c r="D2" s="14">
        <v>1</v>
      </c>
      <c r="E2" s="14">
        <f t="shared" ref="E2:E21" si="0">IF(B2=A2,I2,"")</f>
        <v>2840</v>
      </c>
      <c r="F2" s="14">
        <f t="shared" ref="F2:F21" si="1">IF(C2=A2,I2,"")</f>
        <v>2840</v>
      </c>
      <c r="G2" s="14">
        <f t="shared" ref="G2:G21" si="2">IF(D2=A2,I2,"")</f>
        <v>2840</v>
      </c>
      <c r="H2" s="60" t="str">
        <f>'Materials Properties'!H2</f>
        <v>Moon Rock</v>
      </c>
      <c r="I2" s="60">
        <f>'Materials Properties'!I2</f>
        <v>2840</v>
      </c>
      <c r="J2" s="61" t="s">
        <v>99</v>
      </c>
      <c r="K2" s="60">
        <f t="shared" ref="K2:K21" si="3">IF(A2=B2,N2,"")</f>
        <v>150</v>
      </c>
      <c r="L2" s="60">
        <f t="shared" ref="L2:L21" si="4">IF(C2=A2,N2,"")</f>
        <v>150</v>
      </c>
      <c r="M2" s="60">
        <f t="shared" ref="M2:M21" si="5">IF(D2=A2,N2,"")</f>
        <v>150</v>
      </c>
      <c r="N2" s="60">
        <f>'Materials Properties'!N2</f>
        <v>150</v>
      </c>
      <c r="O2" s="63" t="s">
        <v>98</v>
      </c>
    </row>
    <row r="3" spans="1:15" ht="28.8" x14ac:dyDescent="0.3">
      <c r="A3" s="14">
        <v>2</v>
      </c>
      <c r="B3" s="14">
        <f t="shared" ref="B3:D21" si="6">B2</f>
        <v>1</v>
      </c>
      <c r="C3" s="14">
        <f t="shared" si="6"/>
        <v>1</v>
      </c>
      <c r="D3" s="14">
        <f t="shared" si="6"/>
        <v>1</v>
      </c>
      <c r="E3" s="14" t="str">
        <f t="shared" si="0"/>
        <v/>
      </c>
      <c r="F3" s="14" t="str">
        <f t="shared" si="1"/>
        <v/>
      </c>
      <c r="G3" s="14" t="str">
        <f t="shared" si="2"/>
        <v/>
      </c>
      <c r="H3" s="60" t="str">
        <f>'Materials Properties'!H3</f>
        <v>Auminium</v>
      </c>
      <c r="I3" s="60">
        <f>'Materials Properties'!I3</f>
        <v>2705</v>
      </c>
      <c r="J3" s="61" t="s">
        <v>95</v>
      </c>
      <c r="K3" s="60" t="str">
        <f t="shared" si="3"/>
        <v/>
      </c>
      <c r="L3" s="60" t="str">
        <f t="shared" si="4"/>
        <v/>
      </c>
      <c r="M3" s="60" t="str">
        <f t="shared" si="5"/>
        <v/>
      </c>
      <c r="N3" s="60">
        <f>'Materials Properties'!N3</f>
        <v>575</v>
      </c>
      <c r="O3" s="61" t="s">
        <v>94</v>
      </c>
    </row>
    <row r="4" spans="1:15" ht="28.8" x14ac:dyDescent="0.3">
      <c r="A4" s="14">
        <v>3</v>
      </c>
      <c r="B4" s="14">
        <f t="shared" si="6"/>
        <v>1</v>
      </c>
      <c r="C4" s="14">
        <f t="shared" si="6"/>
        <v>1</v>
      </c>
      <c r="D4" s="14">
        <f t="shared" si="6"/>
        <v>1</v>
      </c>
      <c r="E4" s="14" t="str">
        <f t="shared" si="0"/>
        <v/>
      </c>
      <c r="F4" s="14" t="str">
        <f t="shared" si="1"/>
        <v/>
      </c>
      <c r="G4" s="14" t="str">
        <f t="shared" si="2"/>
        <v/>
      </c>
      <c r="H4" s="60" t="str">
        <f>'Materials Properties'!H4</f>
        <v>Steel</v>
      </c>
      <c r="I4" s="60">
        <f>'Materials Properties'!I4</f>
        <v>7850</v>
      </c>
      <c r="J4" s="61" t="s">
        <v>95</v>
      </c>
      <c r="K4" s="60" t="str">
        <f t="shared" si="3"/>
        <v/>
      </c>
      <c r="L4" s="60" t="str">
        <f t="shared" si="4"/>
        <v/>
      </c>
      <c r="M4" s="60" t="str">
        <f t="shared" si="5"/>
        <v/>
      </c>
      <c r="N4" s="60">
        <f>'Materials Properties'!N4</f>
        <v>600</v>
      </c>
      <c r="O4" s="61" t="s">
        <v>94</v>
      </c>
    </row>
    <row r="5" spans="1:15" ht="57.6" x14ac:dyDescent="0.3">
      <c r="A5" s="14">
        <v>4</v>
      </c>
      <c r="B5" s="14">
        <f t="shared" si="6"/>
        <v>1</v>
      </c>
      <c r="C5" s="14">
        <f t="shared" si="6"/>
        <v>1</v>
      </c>
      <c r="D5" s="14">
        <f t="shared" si="6"/>
        <v>1</v>
      </c>
      <c r="E5" s="14" t="str">
        <f t="shared" si="0"/>
        <v/>
      </c>
      <c r="F5" s="14" t="str">
        <f t="shared" si="1"/>
        <v/>
      </c>
      <c r="G5" s="14" t="str">
        <f t="shared" si="2"/>
        <v/>
      </c>
      <c r="H5" s="60" t="str">
        <f>'Materials Properties'!H5</f>
        <v>High Impact ABS</v>
      </c>
      <c r="I5" s="60">
        <f>'Materials Properties'!I5</f>
        <v>1100</v>
      </c>
      <c r="J5" s="61" t="s">
        <v>92</v>
      </c>
      <c r="K5" s="60" t="str">
        <f t="shared" si="3"/>
        <v/>
      </c>
      <c r="L5" s="60" t="str">
        <f t="shared" si="4"/>
        <v/>
      </c>
      <c r="M5" s="60" t="str">
        <f t="shared" si="5"/>
        <v/>
      </c>
      <c r="N5" s="60">
        <f>'Materials Properties'!N5</f>
        <v>100.22993999999998</v>
      </c>
      <c r="O5" s="61" t="s">
        <v>91</v>
      </c>
    </row>
    <row r="6" spans="1:15" x14ac:dyDescent="0.3">
      <c r="A6" s="14">
        <v>5</v>
      </c>
      <c r="B6" s="14">
        <f t="shared" si="6"/>
        <v>1</v>
      </c>
      <c r="C6" s="14">
        <f t="shared" si="6"/>
        <v>1</v>
      </c>
      <c r="D6" s="14">
        <f t="shared" si="6"/>
        <v>1</v>
      </c>
      <c r="E6" s="14" t="str">
        <f t="shared" si="0"/>
        <v/>
      </c>
      <c r="F6" s="14" t="str">
        <f t="shared" si="1"/>
        <v/>
      </c>
      <c r="G6" s="14" t="str">
        <f t="shared" si="2"/>
        <v/>
      </c>
      <c r="H6" s="60" t="str">
        <f>'Materials Properties'!H6</f>
        <v>Add to table</v>
      </c>
      <c r="I6" s="60">
        <f>'Materials Properties'!I6</f>
        <v>0</v>
      </c>
      <c r="J6" s="60"/>
      <c r="K6" s="60" t="str">
        <f t="shared" si="3"/>
        <v/>
      </c>
      <c r="L6" s="60" t="str">
        <f t="shared" si="4"/>
        <v/>
      </c>
      <c r="M6" s="60" t="str">
        <f t="shared" si="5"/>
        <v/>
      </c>
      <c r="N6" s="60">
        <f>'Materials Properties'!N6</f>
        <v>0</v>
      </c>
      <c r="O6" s="60"/>
    </row>
    <row r="7" spans="1:15" x14ac:dyDescent="0.3">
      <c r="A7" s="14">
        <v>6</v>
      </c>
      <c r="B7" s="14">
        <f t="shared" si="6"/>
        <v>1</v>
      </c>
      <c r="C7" s="14">
        <f t="shared" si="6"/>
        <v>1</v>
      </c>
      <c r="D7" s="14">
        <f t="shared" si="6"/>
        <v>1</v>
      </c>
      <c r="E7" s="14" t="str">
        <f t="shared" si="0"/>
        <v/>
      </c>
      <c r="F7" s="14" t="str">
        <f t="shared" si="1"/>
        <v/>
      </c>
      <c r="G7" s="14" t="str">
        <f t="shared" si="2"/>
        <v/>
      </c>
      <c r="H7" s="60" t="str">
        <f>'Materials Properties'!H7</f>
        <v>Add to table</v>
      </c>
      <c r="I7" s="60">
        <f>'Materials Properties'!I7</f>
        <v>0</v>
      </c>
      <c r="J7" s="60"/>
      <c r="K7" s="60" t="str">
        <f t="shared" si="3"/>
        <v/>
      </c>
      <c r="L7" s="60" t="str">
        <f t="shared" si="4"/>
        <v/>
      </c>
      <c r="M7" s="60" t="str">
        <f t="shared" si="5"/>
        <v/>
      </c>
      <c r="N7" s="60">
        <f>'Materials Properties'!N7</f>
        <v>0</v>
      </c>
      <c r="O7" s="60"/>
    </row>
    <row r="8" spans="1:15" x14ac:dyDescent="0.3">
      <c r="A8" s="14">
        <v>7</v>
      </c>
      <c r="B8" s="14">
        <f t="shared" si="6"/>
        <v>1</v>
      </c>
      <c r="C8" s="14">
        <f t="shared" si="6"/>
        <v>1</v>
      </c>
      <c r="D8" s="14">
        <f t="shared" si="6"/>
        <v>1</v>
      </c>
      <c r="E8" s="14" t="str">
        <f t="shared" si="0"/>
        <v/>
      </c>
      <c r="F8" s="14" t="str">
        <f t="shared" si="1"/>
        <v/>
      </c>
      <c r="G8" s="14" t="str">
        <f t="shared" si="2"/>
        <v/>
      </c>
      <c r="H8" s="60" t="str">
        <f>'Materials Properties'!H8</f>
        <v>Add to table</v>
      </c>
      <c r="I8" s="60">
        <f>'Materials Properties'!I8</f>
        <v>0</v>
      </c>
      <c r="J8" s="60"/>
      <c r="K8" s="60" t="str">
        <f t="shared" si="3"/>
        <v/>
      </c>
      <c r="L8" s="60" t="str">
        <f t="shared" si="4"/>
        <v/>
      </c>
      <c r="M8" s="60" t="str">
        <f t="shared" si="5"/>
        <v/>
      </c>
      <c r="N8" s="60">
        <f>'Materials Properties'!N8</f>
        <v>0</v>
      </c>
      <c r="O8" s="60"/>
    </row>
    <row r="9" spans="1:15" x14ac:dyDescent="0.3">
      <c r="A9" s="14">
        <v>8</v>
      </c>
      <c r="B9" s="14">
        <f t="shared" si="6"/>
        <v>1</v>
      </c>
      <c r="C9" s="14">
        <f t="shared" si="6"/>
        <v>1</v>
      </c>
      <c r="D9" s="14">
        <f t="shared" si="6"/>
        <v>1</v>
      </c>
      <c r="E9" s="14" t="str">
        <f t="shared" si="0"/>
        <v/>
      </c>
      <c r="F9" s="14" t="str">
        <f t="shared" si="1"/>
        <v/>
      </c>
      <c r="G9" s="14" t="str">
        <f t="shared" si="2"/>
        <v/>
      </c>
      <c r="H9" s="60" t="str">
        <f>'Materials Properties'!H9</f>
        <v>Add to table</v>
      </c>
      <c r="I9" s="60">
        <f>'Materials Properties'!I9</f>
        <v>0</v>
      </c>
      <c r="J9" s="60"/>
      <c r="K9" s="60" t="str">
        <f t="shared" si="3"/>
        <v/>
      </c>
      <c r="L9" s="60" t="str">
        <f t="shared" si="4"/>
        <v/>
      </c>
      <c r="M9" s="60" t="str">
        <f t="shared" si="5"/>
        <v/>
      </c>
      <c r="N9" s="60">
        <f>'Materials Properties'!N9</f>
        <v>0</v>
      </c>
      <c r="O9" s="60"/>
    </row>
    <row r="10" spans="1:15" x14ac:dyDescent="0.3">
      <c r="A10" s="14">
        <v>9</v>
      </c>
      <c r="B10" s="14">
        <f t="shared" si="6"/>
        <v>1</v>
      </c>
      <c r="C10" s="14">
        <f t="shared" si="6"/>
        <v>1</v>
      </c>
      <c r="D10" s="14">
        <f t="shared" si="6"/>
        <v>1</v>
      </c>
      <c r="E10" s="14" t="str">
        <f t="shared" si="0"/>
        <v/>
      </c>
      <c r="F10" s="14" t="str">
        <f t="shared" si="1"/>
        <v/>
      </c>
      <c r="G10" s="14" t="str">
        <f t="shared" si="2"/>
        <v/>
      </c>
      <c r="H10" s="60" t="str">
        <f>'Materials Properties'!H10</f>
        <v>Add to table</v>
      </c>
      <c r="I10" s="60">
        <f>'Materials Properties'!I10</f>
        <v>0</v>
      </c>
      <c r="J10" s="60"/>
      <c r="K10" s="60" t="str">
        <f t="shared" si="3"/>
        <v/>
      </c>
      <c r="L10" s="60" t="str">
        <f t="shared" si="4"/>
        <v/>
      </c>
      <c r="M10" s="60" t="str">
        <f t="shared" si="5"/>
        <v/>
      </c>
      <c r="N10" s="60">
        <f>'Materials Properties'!N10</f>
        <v>0</v>
      </c>
      <c r="O10" s="60"/>
    </row>
    <row r="11" spans="1:15" x14ac:dyDescent="0.3">
      <c r="A11" s="14">
        <v>10</v>
      </c>
      <c r="B11" s="14">
        <f t="shared" si="6"/>
        <v>1</v>
      </c>
      <c r="C11" s="14">
        <f t="shared" si="6"/>
        <v>1</v>
      </c>
      <c r="D11" s="14">
        <f t="shared" si="6"/>
        <v>1</v>
      </c>
      <c r="E11" s="14" t="str">
        <f t="shared" si="0"/>
        <v/>
      </c>
      <c r="F11" s="14" t="str">
        <f t="shared" si="1"/>
        <v/>
      </c>
      <c r="G11" s="14" t="str">
        <f t="shared" si="2"/>
        <v/>
      </c>
      <c r="H11" s="60" t="str">
        <f>'Materials Properties'!H11</f>
        <v>Add to table</v>
      </c>
      <c r="I11" s="60">
        <f>'Materials Properties'!I11</f>
        <v>0</v>
      </c>
      <c r="J11" s="60"/>
      <c r="K11" s="60" t="str">
        <f t="shared" si="3"/>
        <v/>
      </c>
      <c r="L11" s="60" t="str">
        <f t="shared" si="4"/>
        <v/>
      </c>
      <c r="M11" s="60" t="str">
        <f t="shared" si="5"/>
        <v/>
      </c>
      <c r="N11" s="60">
        <f>'Materials Properties'!N11</f>
        <v>0</v>
      </c>
      <c r="O11" s="60"/>
    </row>
    <row r="12" spans="1:15" x14ac:dyDescent="0.3">
      <c r="A12" s="14">
        <v>11</v>
      </c>
      <c r="B12" s="14">
        <f t="shared" si="6"/>
        <v>1</v>
      </c>
      <c r="C12" s="14">
        <f t="shared" si="6"/>
        <v>1</v>
      </c>
      <c r="D12" s="14">
        <f t="shared" si="6"/>
        <v>1</v>
      </c>
      <c r="E12" s="14" t="str">
        <f t="shared" si="0"/>
        <v/>
      </c>
      <c r="F12" s="14" t="str">
        <f t="shared" si="1"/>
        <v/>
      </c>
      <c r="G12" s="14" t="str">
        <f t="shared" si="2"/>
        <v/>
      </c>
      <c r="H12" s="60" t="str">
        <f>'Materials Properties'!H12</f>
        <v>Add to table</v>
      </c>
      <c r="I12" s="60">
        <f>'Materials Properties'!I12</f>
        <v>0</v>
      </c>
      <c r="J12" s="60"/>
      <c r="K12" s="60" t="str">
        <f t="shared" si="3"/>
        <v/>
      </c>
      <c r="L12" s="60" t="str">
        <f t="shared" si="4"/>
        <v/>
      </c>
      <c r="M12" s="60" t="str">
        <f t="shared" si="5"/>
        <v/>
      </c>
      <c r="N12" s="60">
        <f>'Materials Properties'!N12</f>
        <v>0</v>
      </c>
      <c r="O12" s="60"/>
    </row>
    <row r="13" spans="1:15" x14ac:dyDescent="0.3">
      <c r="A13" s="14">
        <v>12</v>
      </c>
      <c r="B13" s="14">
        <f t="shared" si="6"/>
        <v>1</v>
      </c>
      <c r="C13" s="14">
        <f t="shared" si="6"/>
        <v>1</v>
      </c>
      <c r="D13" s="14">
        <f t="shared" si="6"/>
        <v>1</v>
      </c>
      <c r="E13" s="14" t="str">
        <f t="shared" si="0"/>
        <v/>
      </c>
      <c r="F13" s="14" t="str">
        <f t="shared" si="1"/>
        <v/>
      </c>
      <c r="G13" s="14" t="str">
        <f t="shared" si="2"/>
        <v/>
      </c>
      <c r="H13" s="60" t="str">
        <f>'Materials Properties'!H13</f>
        <v>Add to table</v>
      </c>
      <c r="I13" s="60">
        <f>'Materials Properties'!I13</f>
        <v>0</v>
      </c>
      <c r="J13" s="60"/>
      <c r="K13" s="60" t="str">
        <f t="shared" si="3"/>
        <v/>
      </c>
      <c r="L13" s="60" t="str">
        <f t="shared" si="4"/>
        <v/>
      </c>
      <c r="M13" s="60" t="str">
        <f t="shared" si="5"/>
        <v/>
      </c>
      <c r="N13" s="60">
        <f>'Materials Properties'!N13</f>
        <v>0</v>
      </c>
      <c r="O13" s="60"/>
    </row>
    <row r="14" spans="1:15" x14ac:dyDescent="0.3">
      <c r="A14" s="14">
        <v>13</v>
      </c>
      <c r="B14" s="14">
        <f t="shared" si="6"/>
        <v>1</v>
      </c>
      <c r="C14" s="14">
        <f t="shared" si="6"/>
        <v>1</v>
      </c>
      <c r="D14" s="14">
        <f t="shared" si="6"/>
        <v>1</v>
      </c>
      <c r="E14" s="14" t="str">
        <f t="shared" si="0"/>
        <v/>
      </c>
      <c r="F14" s="14" t="str">
        <f t="shared" si="1"/>
        <v/>
      </c>
      <c r="G14" s="14" t="str">
        <f t="shared" si="2"/>
        <v/>
      </c>
      <c r="H14" s="60" t="str">
        <f>'Materials Properties'!H14</f>
        <v>Add to table</v>
      </c>
      <c r="I14" s="60">
        <f>'Materials Properties'!I14</f>
        <v>0</v>
      </c>
      <c r="J14" s="60"/>
      <c r="K14" s="60" t="str">
        <f t="shared" si="3"/>
        <v/>
      </c>
      <c r="L14" s="60" t="str">
        <f t="shared" si="4"/>
        <v/>
      </c>
      <c r="M14" s="60" t="str">
        <f t="shared" si="5"/>
        <v/>
      </c>
      <c r="N14" s="60">
        <f>'Materials Properties'!N14</f>
        <v>0</v>
      </c>
      <c r="O14" s="60"/>
    </row>
    <row r="15" spans="1:15" x14ac:dyDescent="0.3">
      <c r="A15" s="14">
        <v>14</v>
      </c>
      <c r="B15" s="14">
        <f t="shared" si="6"/>
        <v>1</v>
      </c>
      <c r="C15" s="14">
        <f t="shared" si="6"/>
        <v>1</v>
      </c>
      <c r="D15" s="14">
        <f t="shared" si="6"/>
        <v>1</v>
      </c>
      <c r="E15" s="14" t="str">
        <f t="shared" si="0"/>
        <v/>
      </c>
      <c r="F15" s="14" t="str">
        <f t="shared" si="1"/>
        <v/>
      </c>
      <c r="G15" s="14" t="str">
        <f t="shared" si="2"/>
        <v/>
      </c>
      <c r="H15" s="60" t="str">
        <f>'Materials Properties'!H15</f>
        <v>Add to table</v>
      </c>
      <c r="I15" s="60">
        <f>'Materials Properties'!I15</f>
        <v>0</v>
      </c>
      <c r="J15" s="60"/>
      <c r="K15" s="60" t="str">
        <f t="shared" si="3"/>
        <v/>
      </c>
      <c r="L15" s="60" t="str">
        <f t="shared" si="4"/>
        <v/>
      </c>
      <c r="M15" s="60" t="str">
        <f t="shared" si="5"/>
        <v/>
      </c>
      <c r="N15" s="60">
        <f>'Materials Properties'!N15</f>
        <v>0</v>
      </c>
      <c r="O15" s="60"/>
    </row>
    <row r="16" spans="1:15" x14ac:dyDescent="0.3">
      <c r="A16" s="14">
        <v>15</v>
      </c>
      <c r="B16" s="14">
        <f t="shared" si="6"/>
        <v>1</v>
      </c>
      <c r="C16" s="14">
        <f t="shared" si="6"/>
        <v>1</v>
      </c>
      <c r="D16" s="14">
        <f t="shared" si="6"/>
        <v>1</v>
      </c>
      <c r="E16" s="14" t="str">
        <f t="shared" si="0"/>
        <v/>
      </c>
      <c r="F16" s="14" t="str">
        <f t="shared" si="1"/>
        <v/>
      </c>
      <c r="G16" s="14" t="str">
        <f t="shared" si="2"/>
        <v/>
      </c>
      <c r="H16" s="60" t="str">
        <f>'Materials Properties'!H16</f>
        <v>Add to table</v>
      </c>
      <c r="I16" s="60">
        <f>'Materials Properties'!I16</f>
        <v>0</v>
      </c>
      <c r="J16" s="60"/>
      <c r="K16" s="60" t="str">
        <f t="shared" si="3"/>
        <v/>
      </c>
      <c r="L16" s="60" t="str">
        <f t="shared" si="4"/>
        <v/>
      </c>
      <c r="M16" s="60" t="str">
        <f t="shared" si="5"/>
        <v/>
      </c>
      <c r="N16" s="60">
        <f>'Materials Properties'!N16</f>
        <v>0</v>
      </c>
      <c r="O16" s="60"/>
    </row>
    <row r="17" spans="1:15" x14ac:dyDescent="0.3">
      <c r="A17" s="14">
        <v>16</v>
      </c>
      <c r="B17" s="14">
        <f t="shared" si="6"/>
        <v>1</v>
      </c>
      <c r="C17" s="14">
        <f t="shared" si="6"/>
        <v>1</v>
      </c>
      <c r="D17" s="14">
        <f t="shared" si="6"/>
        <v>1</v>
      </c>
      <c r="E17" s="14" t="str">
        <f t="shared" si="0"/>
        <v/>
      </c>
      <c r="F17" s="14" t="str">
        <f t="shared" si="1"/>
        <v/>
      </c>
      <c r="G17" s="14" t="str">
        <f t="shared" si="2"/>
        <v/>
      </c>
      <c r="H17" s="60" t="str">
        <f>'Materials Properties'!H17</f>
        <v>Add to table</v>
      </c>
      <c r="I17" s="60">
        <f>'Materials Properties'!I17</f>
        <v>0</v>
      </c>
      <c r="J17" s="60"/>
      <c r="K17" s="60" t="str">
        <f t="shared" si="3"/>
        <v/>
      </c>
      <c r="L17" s="60" t="str">
        <f t="shared" si="4"/>
        <v/>
      </c>
      <c r="M17" s="60" t="str">
        <f t="shared" si="5"/>
        <v/>
      </c>
      <c r="N17" s="60">
        <f>'Materials Properties'!N17</f>
        <v>0</v>
      </c>
      <c r="O17" s="60"/>
    </row>
    <row r="18" spans="1:15" x14ac:dyDescent="0.3">
      <c r="A18" s="14">
        <v>17</v>
      </c>
      <c r="B18" s="14">
        <f t="shared" si="6"/>
        <v>1</v>
      </c>
      <c r="C18" s="14">
        <f t="shared" si="6"/>
        <v>1</v>
      </c>
      <c r="D18" s="14">
        <f t="shared" si="6"/>
        <v>1</v>
      </c>
      <c r="E18" s="14" t="str">
        <f t="shared" si="0"/>
        <v/>
      </c>
      <c r="F18" s="14" t="str">
        <f t="shared" si="1"/>
        <v/>
      </c>
      <c r="G18" s="14" t="str">
        <f t="shared" si="2"/>
        <v/>
      </c>
      <c r="H18" s="60" t="str">
        <f>'Materials Properties'!H18</f>
        <v>Add to table</v>
      </c>
      <c r="I18" s="60">
        <f>'Materials Properties'!I18</f>
        <v>0</v>
      </c>
      <c r="J18" s="60"/>
      <c r="K18" s="60" t="str">
        <f t="shared" si="3"/>
        <v/>
      </c>
      <c r="L18" s="60" t="str">
        <f t="shared" si="4"/>
        <v/>
      </c>
      <c r="M18" s="60" t="str">
        <f t="shared" si="5"/>
        <v/>
      </c>
      <c r="N18" s="60">
        <f>'Materials Properties'!N18</f>
        <v>0</v>
      </c>
      <c r="O18" s="60"/>
    </row>
    <row r="19" spans="1:15" x14ac:dyDescent="0.3">
      <c r="A19" s="14">
        <v>18</v>
      </c>
      <c r="B19" s="14">
        <f t="shared" si="6"/>
        <v>1</v>
      </c>
      <c r="C19" s="14">
        <f t="shared" si="6"/>
        <v>1</v>
      </c>
      <c r="D19" s="14">
        <f t="shared" si="6"/>
        <v>1</v>
      </c>
      <c r="E19" s="14" t="str">
        <f t="shared" si="0"/>
        <v/>
      </c>
      <c r="F19" s="14" t="str">
        <f t="shared" si="1"/>
        <v/>
      </c>
      <c r="G19" s="14" t="str">
        <f t="shared" si="2"/>
        <v/>
      </c>
      <c r="H19" s="60" t="str">
        <f>'Materials Properties'!H19</f>
        <v>Add to table</v>
      </c>
      <c r="I19" s="60">
        <f>'Materials Properties'!I19</f>
        <v>0</v>
      </c>
      <c r="J19" s="60"/>
      <c r="K19" s="60" t="str">
        <f t="shared" si="3"/>
        <v/>
      </c>
      <c r="L19" s="60" t="str">
        <f t="shared" si="4"/>
        <v/>
      </c>
      <c r="M19" s="60" t="str">
        <f t="shared" si="5"/>
        <v/>
      </c>
      <c r="N19" s="60">
        <f>'Materials Properties'!N19</f>
        <v>0</v>
      </c>
      <c r="O19" s="60"/>
    </row>
    <row r="20" spans="1:15" x14ac:dyDescent="0.3">
      <c r="A20" s="14">
        <v>19</v>
      </c>
      <c r="B20" s="14">
        <f t="shared" si="6"/>
        <v>1</v>
      </c>
      <c r="C20" s="14">
        <f t="shared" si="6"/>
        <v>1</v>
      </c>
      <c r="D20" s="14">
        <f t="shared" si="6"/>
        <v>1</v>
      </c>
      <c r="E20" s="14" t="str">
        <f t="shared" si="0"/>
        <v/>
      </c>
      <c r="F20" s="14" t="str">
        <f t="shared" si="1"/>
        <v/>
      </c>
      <c r="G20" s="14" t="str">
        <f t="shared" si="2"/>
        <v/>
      </c>
      <c r="H20" s="60" t="str">
        <f>'Materials Properties'!H20</f>
        <v>Add to table</v>
      </c>
      <c r="I20" s="60">
        <f>'Materials Properties'!I20</f>
        <v>0</v>
      </c>
      <c r="J20" s="60"/>
      <c r="K20" s="60" t="str">
        <f t="shared" si="3"/>
        <v/>
      </c>
      <c r="L20" s="60" t="str">
        <f t="shared" si="4"/>
        <v/>
      </c>
      <c r="M20" s="60" t="str">
        <f t="shared" si="5"/>
        <v/>
      </c>
      <c r="N20" s="60">
        <f>'Materials Properties'!N20</f>
        <v>0</v>
      </c>
      <c r="O20" s="60"/>
    </row>
    <row r="21" spans="1:15" x14ac:dyDescent="0.3">
      <c r="A21" s="14">
        <v>20</v>
      </c>
      <c r="B21" s="14">
        <f t="shared" si="6"/>
        <v>1</v>
      </c>
      <c r="C21" s="14">
        <f t="shared" si="6"/>
        <v>1</v>
      </c>
      <c r="D21" s="14">
        <f t="shared" si="6"/>
        <v>1</v>
      </c>
      <c r="E21" s="14" t="str">
        <f t="shared" si="0"/>
        <v/>
      </c>
      <c r="F21" s="14" t="str">
        <f t="shared" si="1"/>
        <v/>
      </c>
      <c r="G21" s="14" t="str">
        <f t="shared" si="2"/>
        <v/>
      </c>
      <c r="H21" s="60" t="str">
        <f>'Materials Properties'!H21</f>
        <v>Add to table</v>
      </c>
      <c r="I21" s="60">
        <f>'Materials Properties'!I21</f>
        <v>0</v>
      </c>
      <c r="J21" s="60"/>
      <c r="K21" s="60" t="str">
        <f t="shared" si="3"/>
        <v/>
      </c>
      <c r="L21" s="60" t="str">
        <f t="shared" si="4"/>
        <v/>
      </c>
      <c r="M21" s="60" t="str">
        <f t="shared" si="5"/>
        <v/>
      </c>
      <c r="N21" s="60">
        <f>'Materials Properties'!N21</f>
        <v>0</v>
      </c>
      <c r="O21" s="60"/>
    </row>
    <row r="23" spans="1:15" x14ac:dyDescent="0.3">
      <c r="E23" s="14">
        <f>SUM(E2:E21)</f>
        <v>2840</v>
      </c>
      <c r="F23" s="14">
        <f>SUM(F2:F21)</f>
        <v>2840</v>
      </c>
      <c r="G23" s="14">
        <f>SUM(G2:G21)</f>
        <v>2840</v>
      </c>
      <c r="K23" s="14">
        <f>SUM(K2:K21)</f>
        <v>150</v>
      </c>
      <c r="L23" s="14">
        <f>SUM(L2:L21)</f>
        <v>150</v>
      </c>
      <c r="M23" s="14">
        <f>SUM(M2:M21)</f>
        <v>150</v>
      </c>
    </row>
  </sheetData>
  <hyperlinks>
    <hyperlink ref="J2" r:id="rId1" xr:uid="{C1C05BD3-5134-4250-AA97-A54952B06689}"/>
    <hyperlink ref="J3" r:id="rId2" xr:uid="{AB3785E4-2C83-4216-A7CA-9F01B04CE8BA}"/>
    <hyperlink ref="J4" r:id="rId3" xr:uid="{EA8261C4-648A-4FA8-BE26-6CAA22B1285B}"/>
    <hyperlink ref="J5" r:id="rId4" xr:uid="{4275A393-ADD2-463A-8F34-FDF1AF52CB67}"/>
    <hyperlink ref="O3:O4" r:id="rId5" display="https://electroheatinduction.com/how-to-calculate-electricity-cost-for-melting-metal-in-induction-melting-furnace/" xr:uid="{DCEF0CFB-237E-48B9-A97C-A6D7466F0F75}"/>
    <hyperlink ref="O5" r:id="rId6" location=":~:text=A%20kilogram%20of%20a%20semi-crystalline%20resin%2C%20such%20as,vs.%20342%29%2C%20yet%20their%20processing%20temperatures%20are%20similar." xr:uid="{D59EC6D3-F49B-4267-B8E3-A3B75843CD1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363E-1105-4031-B8EF-60271BE3A7EF}">
  <dimension ref="A2:I84"/>
  <sheetViews>
    <sheetView showGridLines="0" topLeftCell="A31" workbookViewId="0">
      <selection activeCell="D46" sqref="D46:F46"/>
    </sheetView>
  </sheetViews>
  <sheetFormatPr defaultColWidth="9.109375" defaultRowHeight="14.4" x14ac:dyDescent="0.3"/>
  <cols>
    <col min="1" max="1" width="40.5546875" style="2" bestFit="1" customWidth="1"/>
    <col min="2" max="2" width="6.6640625" style="2" hidden="1" customWidth="1"/>
    <col min="3" max="3" width="9.109375" style="5" bestFit="1" customWidth="1"/>
    <col min="4" max="6" width="18.5546875" style="4" customWidth="1"/>
    <col min="7" max="7" width="6.44140625" style="3" customWidth="1"/>
    <col min="8" max="8" width="62.33203125" style="2" customWidth="1"/>
    <col min="9" max="9" width="49.6640625" style="2" customWidth="1"/>
    <col min="10" max="10" width="9.109375" style="1"/>
    <col min="11" max="11" width="6.6640625" style="1" bestFit="1" customWidth="1"/>
    <col min="12" max="12" width="17.33203125" style="1" bestFit="1" customWidth="1"/>
    <col min="13" max="16384" width="9.109375" style="1"/>
  </cols>
  <sheetData>
    <row r="2" spans="1:9" ht="21" x14ac:dyDescent="0.3">
      <c r="A2" s="70" t="s">
        <v>89</v>
      </c>
      <c r="B2" s="10"/>
      <c r="H2" s="7"/>
    </row>
    <row r="3" spans="1:9" ht="18" x14ac:dyDescent="0.3">
      <c r="A3" s="10"/>
      <c r="B3" s="10"/>
      <c r="H3" s="7"/>
    </row>
    <row r="4" spans="1:9" x14ac:dyDescent="0.3">
      <c r="A4" s="44"/>
      <c r="B4" s="25"/>
      <c r="C4" s="52" t="s">
        <v>88</v>
      </c>
      <c r="D4" s="80" t="s">
        <v>87</v>
      </c>
      <c r="E4" s="80" t="s">
        <v>86</v>
      </c>
      <c r="F4" s="80" t="s">
        <v>85</v>
      </c>
      <c r="G4" s="81" t="s">
        <v>84</v>
      </c>
      <c r="H4" s="45" t="s">
        <v>111</v>
      </c>
      <c r="I4" s="45" t="s">
        <v>104</v>
      </c>
    </row>
    <row r="5" spans="1:9" ht="28.8" x14ac:dyDescent="0.3">
      <c r="A5" s="75" t="s">
        <v>82</v>
      </c>
      <c r="B5" s="75" t="s">
        <v>81</v>
      </c>
      <c r="C5" s="76" t="s">
        <v>0</v>
      </c>
      <c r="D5" s="77">
        <v>100</v>
      </c>
      <c r="E5" s="77">
        <v>1000</v>
      </c>
      <c r="F5" s="77">
        <v>100000</v>
      </c>
      <c r="G5" s="78">
        <v>73</v>
      </c>
      <c r="H5" s="79" t="s">
        <v>106</v>
      </c>
      <c r="I5" s="79" t="s">
        <v>105</v>
      </c>
    </row>
    <row r="6" spans="1:9" ht="28.8" x14ac:dyDescent="0.3">
      <c r="A6" s="44" t="s">
        <v>80</v>
      </c>
      <c r="B6" s="44" t="s">
        <v>79</v>
      </c>
      <c r="C6" s="46" t="s">
        <v>0</v>
      </c>
      <c r="D6" s="27">
        <v>10</v>
      </c>
      <c r="E6" s="27">
        <v>100</v>
      </c>
      <c r="F6" s="27">
        <v>10000</v>
      </c>
      <c r="G6" s="24"/>
      <c r="H6" s="25" t="s">
        <v>78</v>
      </c>
      <c r="I6" s="25"/>
    </row>
    <row r="7" spans="1:9" x14ac:dyDescent="0.3">
      <c r="A7" s="44" t="s">
        <v>77</v>
      </c>
      <c r="B7" s="44" t="s">
        <v>76</v>
      </c>
      <c r="C7" s="46" t="s">
        <v>0</v>
      </c>
      <c r="D7" s="27">
        <f>SUM(D5-(2*D6))</f>
        <v>80</v>
      </c>
      <c r="E7" s="27">
        <f>SUM(E5-(2*E6))</f>
        <v>800</v>
      </c>
      <c r="F7" s="27">
        <f t="shared" ref="F7" si="0">SUM(F5-(2*F6))</f>
        <v>80000</v>
      </c>
      <c r="G7" s="47"/>
      <c r="H7" s="25"/>
      <c r="I7" s="25"/>
    </row>
    <row r="8" spans="1:9" x14ac:dyDescent="0.3">
      <c r="A8" s="44" t="s">
        <v>75</v>
      </c>
      <c r="B8" s="44" t="s">
        <v>74</v>
      </c>
      <c r="C8" s="46" t="s">
        <v>0</v>
      </c>
      <c r="D8" s="48">
        <v>0.02</v>
      </c>
      <c r="E8" s="48">
        <v>0.5</v>
      </c>
      <c r="F8" s="27">
        <v>10</v>
      </c>
      <c r="G8" s="47"/>
      <c r="H8" s="25"/>
      <c r="I8" s="25"/>
    </row>
    <row r="9" spans="1:9" x14ac:dyDescent="0.3">
      <c r="A9" s="44" t="s">
        <v>122</v>
      </c>
      <c r="B9" s="44"/>
      <c r="C9" s="46" t="s">
        <v>3</v>
      </c>
      <c r="D9" s="92">
        <f t="shared" ref="D9" si="1">SUM(3.1416/4*((D5*D5)-((D5-(2*D8))*(D5-(2*D8)))))</f>
        <v>6.2819433600003149</v>
      </c>
      <c r="E9" s="92">
        <f t="shared" ref="E9:F9" si="2">SUM(3.1416/4*((E5*E5)-((E5-(2*E8))*(E5-(2*E8)))))</f>
        <v>1570.0146</v>
      </c>
      <c r="F9" s="92">
        <f t="shared" si="2"/>
        <v>3141285.84</v>
      </c>
      <c r="G9" s="47"/>
      <c r="H9" s="25" t="s">
        <v>127</v>
      </c>
      <c r="I9" s="25"/>
    </row>
    <row r="10" spans="1:9" ht="28.8" x14ac:dyDescent="0.3">
      <c r="A10" s="44" t="s">
        <v>123</v>
      </c>
      <c r="B10" s="44"/>
      <c r="C10" s="46" t="s">
        <v>3</v>
      </c>
      <c r="D10" s="92">
        <f>(D5-(D8*2))*D8</f>
        <v>1.9991999999999999</v>
      </c>
      <c r="E10" s="92">
        <f t="shared" ref="E10:F10" si="3">(E5-(E8*2))*E8</f>
        <v>499.5</v>
      </c>
      <c r="F10" s="92">
        <f t="shared" si="3"/>
        <v>999800</v>
      </c>
      <c r="G10" s="47"/>
      <c r="H10" s="25" t="s">
        <v>128</v>
      </c>
      <c r="I10" s="25"/>
    </row>
    <row r="11" spans="1:9" ht="28.8" x14ac:dyDescent="0.3">
      <c r="A11" s="44" t="s">
        <v>134</v>
      </c>
      <c r="B11" s="44"/>
      <c r="C11" s="46" t="s">
        <v>9</v>
      </c>
      <c r="D11" s="23">
        <v>2</v>
      </c>
      <c r="E11" s="23">
        <v>2</v>
      </c>
      <c r="F11" s="23">
        <v>40</v>
      </c>
      <c r="G11" s="47"/>
      <c r="H11" s="25" t="s">
        <v>135</v>
      </c>
      <c r="I11" s="25"/>
    </row>
    <row r="12" spans="1:9" ht="28.8" x14ac:dyDescent="0.3">
      <c r="A12" s="44" t="s">
        <v>136</v>
      </c>
      <c r="B12" s="44"/>
      <c r="C12" s="46" t="s">
        <v>3</v>
      </c>
      <c r="D12" s="83">
        <f>D9+D10+(D10*D11)</f>
        <v>12.279543360000314</v>
      </c>
      <c r="E12" s="83">
        <f t="shared" ref="E12:F12" si="4">E9+E10+(E10*E11)</f>
        <v>3068.5146</v>
      </c>
      <c r="F12" s="83">
        <f t="shared" si="4"/>
        <v>44133085.840000004</v>
      </c>
      <c r="G12" s="47"/>
      <c r="H12" s="25" t="s">
        <v>143</v>
      </c>
      <c r="I12" s="25"/>
    </row>
    <row r="13" spans="1:9" x14ac:dyDescent="0.3">
      <c r="A13" s="44" t="s">
        <v>73</v>
      </c>
      <c r="B13" s="44" t="s">
        <v>72</v>
      </c>
      <c r="C13" s="46" t="s">
        <v>58</v>
      </c>
      <c r="D13" s="28">
        <f>SUM(3.1416*3.1416)*(D5/2+D7/2)*(D5/2-D7/2)*(D5/2-D7/2)/4</f>
        <v>22206.713759999999</v>
      </c>
      <c r="E13" s="28">
        <f t="shared" ref="E13:F13" si="5">SUM(3.1416*3.1416)*(E5/2+E7/2)*(E5/2-E7/2)*(E5/2-E7/2)/4</f>
        <v>22206713.760000002</v>
      </c>
      <c r="F13" s="28">
        <f t="shared" si="5"/>
        <v>22206713760000</v>
      </c>
      <c r="G13" s="24"/>
      <c r="H13" s="25"/>
      <c r="I13" s="25"/>
    </row>
    <row r="14" spans="1:9" x14ac:dyDescent="0.3">
      <c r="A14" s="44" t="s">
        <v>71</v>
      </c>
      <c r="B14" s="44"/>
      <c r="C14" s="46" t="s">
        <v>0</v>
      </c>
      <c r="D14" s="49">
        <f>D5-(D8*2)</f>
        <v>99.96</v>
      </c>
      <c r="E14" s="49">
        <f t="shared" ref="E14:F14" si="6">E5-(E8*2)</f>
        <v>999</v>
      </c>
      <c r="F14" s="49">
        <f t="shared" si="6"/>
        <v>99980</v>
      </c>
      <c r="G14" s="24"/>
      <c r="H14" s="25"/>
      <c r="I14" s="25"/>
    </row>
    <row r="15" spans="1:9" x14ac:dyDescent="0.3">
      <c r="A15" s="44" t="s">
        <v>70</v>
      </c>
      <c r="B15" s="44"/>
      <c r="C15" s="46" t="s">
        <v>0</v>
      </c>
      <c r="D15" s="49">
        <f>D7+(D8*2)</f>
        <v>80.040000000000006</v>
      </c>
      <c r="E15" s="49">
        <f t="shared" ref="E15:F15" si="7">E7+(E8*2)</f>
        <v>801</v>
      </c>
      <c r="F15" s="49">
        <f t="shared" si="7"/>
        <v>80020</v>
      </c>
      <c r="G15" s="24"/>
      <c r="H15" s="25"/>
      <c r="I15" s="25"/>
    </row>
    <row r="16" spans="1:9" x14ac:dyDescent="0.3">
      <c r="A16" s="44" t="s">
        <v>69</v>
      </c>
      <c r="B16" s="44"/>
      <c r="C16" s="46" t="s">
        <v>58</v>
      </c>
      <c r="D16" s="28">
        <f>SUM(3.1416*3.1416)*(D14/2+D15/2)*(D14/2-D15/2)*(D14/2-D15/2)/4</f>
        <v>22029.415357340135</v>
      </c>
      <c r="E16" s="28">
        <f t="shared" ref="E16:F16" si="8">SUM(3.1416*3.1416)*(E14/2+E15/2)*(E14/2-E15/2)*(E14/2-E15/2)/4</f>
        <v>21764800.156176005</v>
      </c>
      <c r="F16" s="28">
        <f t="shared" si="8"/>
        <v>22117975731815.043</v>
      </c>
      <c r="G16" s="50"/>
      <c r="H16" s="25" t="s">
        <v>68</v>
      </c>
      <c r="I16" s="25"/>
    </row>
    <row r="17" spans="1:9" x14ac:dyDescent="0.3">
      <c r="A17" s="44" t="s">
        <v>67</v>
      </c>
      <c r="B17" s="45"/>
      <c r="C17" s="46" t="s">
        <v>58</v>
      </c>
      <c r="D17" s="28">
        <f>SUM(D13-D16)</f>
        <v>177.29840265986422</v>
      </c>
      <c r="E17" s="28">
        <f t="shared" ref="E17:F17" si="9">SUM(E13-E16)</f>
        <v>441913.60382399708</v>
      </c>
      <c r="F17" s="28">
        <f t="shared" si="9"/>
        <v>88738028184.957031</v>
      </c>
      <c r="G17" s="24"/>
      <c r="H17" s="25"/>
      <c r="I17" s="25"/>
    </row>
    <row r="18" spans="1:9" ht="28.8" x14ac:dyDescent="0.3">
      <c r="A18" s="44" t="s">
        <v>66</v>
      </c>
      <c r="B18" s="44"/>
      <c r="C18" s="46" t="s">
        <v>58</v>
      </c>
      <c r="D18" s="28">
        <f>(3.1416*D8*D14*(D6-2*D8))</f>
        <v>62.555639731199996</v>
      </c>
      <c r="E18" s="28">
        <f t="shared" ref="E18:F18" si="10">(3.1416*E8*E14*(E6-2*E8))</f>
        <v>155353.69080000001</v>
      </c>
      <c r="F18" s="28">
        <f t="shared" si="10"/>
        <v>31346897366.400002</v>
      </c>
      <c r="G18" s="24"/>
      <c r="H18" s="25" t="s">
        <v>65</v>
      </c>
      <c r="I18" s="25"/>
    </row>
    <row r="19" spans="1:9" x14ac:dyDescent="0.3">
      <c r="A19" s="44" t="s">
        <v>63</v>
      </c>
      <c r="B19" s="45"/>
      <c r="C19" s="46" t="s">
        <v>58</v>
      </c>
      <c r="D19" s="28">
        <f>SUM(D11*D18)+D18</f>
        <v>187.66691919359999</v>
      </c>
      <c r="E19" s="28">
        <f t="shared" ref="E19:F19" si="11">SUM(E11*E18)+E18</f>
        <v>466061.07240000006</v>
      </c>
      <c r="F19" s="28">
        <f t="shared" si="11"/>
        <v>1285222792022.3999</v>
      </c>
      <c r="G19" s="24"/>
      <c r="H19" s="25"/>
      <c r="I19" s="25"/>
    </row>
    <row r="20" spans="1:9" x14ac:dyDescent="0.3">
      <c r="A20" s="45" t="s">
        <v>62</v>
      </c>
      <c r="B20" s="45"/>
      <c r="C20" s="52" t="s">
        <v>58</v>
      </c>
      <c r="D20" s="26">
        <f>D16-D19</f>
        <v>21841.748438146533</v>
      </c>
      <c r="E20" s="26">
        <f t="shared" ref="E20:F20" si="12">E16-E19</f>
        <v>21298739.083776005</v>
      </c>
      <c r="F20" s="26">
        <f t="shared" si="12"/>
        <v>20832752939792.645</v>
      </c>
      <c r="G20" s="69">
        <v>932</v>
      </c>
      <c r="H20" s="25"/>
      <c r="I20" s="25" t="s">
        <v>49</v>
      </c>
    </row>
    <row r="21" spans="1:9" x14ac:dyDescent="0.3">
      <c r="A21" s="45" t="s">
        <v>61</v>
      </c>
      <c r="B21" s="45"/>
      <c r="C21" s="52" t="s">
        <v>58</v>
      </c>
      <c r="D21" s="26">
        <f>D17+D19</f>
        <v>364.96532185346422</v>
      </c>
      <c r="E21" s="26">
        <f t="shared" ref="E21:F21" si="13">E17+E19</f>
        <v>907974.67622399714</v>
      </c>
      <c r="F21" s="26">
        <f t="shared" si="13"/>
        <v>1373960820207.3569</v>
      </c>
      <c r="G21" s="24"/>
      <c r="H21" s="25"/>
      <c r="I21" s="25"/>
    </row>
    <row r="22" spans="1:9" x14ac:dyDescent="0.3">
      <c r="A22" s="44" t="s">
        <v>60</v>
      </c>
      <c r="B22" s="44"/>
      <c r="C22" s="46"/>
      <c r="D22" s="88">
        <v>50</v>
      </c>
      <c r="E22" s="88">
        <v>10000</v>
      </c>
      <c r="F22" s="88">
        <v>100000000</v>
      </c>
      <c r="G22" s="69">
        <v>6</v>
      </c>
      <c r="H22" s="25" t="s">
        <v>169</v>
      </c>
      <c r="I22" s="25"/>
    </row>
    <row r="23" spans="1:9" x14ac:dyDescent="0.3">
      <c r="A23" s="45" t="s">
        <v>59</v>
      </c>
      <c r="B23" s="45"/>
      <c r="C23" s="52" t="s">
        <v>58</v>
      </c>
      <c r="D23" s="26">
        <f>D20/D22</f>
        <v>436.83496876293066</v>
      </c>
      <c r="E23" s="26">
        <f t="shared" ref="E23:F23" si="14">E20/E22</f>
        <v>2129.8739083776004</v>
      </c>
      <c r="F23" s="26">
        <f t="shared" si="14"/>
        <v>208327.52939792644</v>
      </c>
      <c r="G23" s="69">
        <f>SUM(G20/G22)</f>
        <v>155.33333333333334</v>
      </c>
      <c r="H23" s="25"/>
      <c r="I23" s="25"/>
    </row>
    <row r="24" spans="1:9" x14ac:dyDescent="0.3">
      <c r="A24" s="45" t="s">
        <v>137</v>
      </c>
      <c r="B24" s="45"/>
      <c r="C24" s="52" t="s">
        <v>3</v>
      </c>
      <c r="D24" s="26">
        <f>D23/2.5</f>
        <v>174.73398750517225</v>
      </c>
      <c r="E24" s="26">
        <f t="shared" ref="E24:F24" si="15">E23/2.5</f>
        <v>851.94956335104018</v>
      </c>
      <c r="F24" s="26">
        <f t="shared" si="15"/>
        <v>83331.011759170578</v>
      </c>
      <c r="G24" s="24"/>
      <c r="H24" s="25" t="s">
        <v>138</v>
      </c>
      <c r="I24" s="25"/>
    </row>
    <row r="26" spans="1:9" ht="21" x14ac:dyDescent="0.3">
      <c r="A26" s="70" t="s">
        <v>45</v>
      </c>
      <c r="B26" s="10"/>
    </row>
    <row r="28" spans="1:9" ht="43.2" x14ac:dyDescent="0.3">
      <c r="A28" s="44" t="s">
        <v>44</v>
      </c>
      <c r="B28" s="44"/>
      <c r="C28" s="46" t="s">
        <v>43</v>
      </c>
      <c r="D28" s="36">
        <v>0.5</v>
      </c>
      <c r="E28" s="36">
        <v>1</v>
      </c>
      <c r="F28" s="36">
        <v>10</v>
      </c>
      <c r="G28" s="24"/>
      <c r="H28" s="25" t="s">
        <v>144</v>
      </c>
      <c r="I28" s="25"/>
    </row>
    <row r="29" spans="1:9" x14ac:dyDescent="0.3">
      <c r="A29" s="44" t="s">
        <v>41</v>
      </c>
      <c r="B29" s="44"/>
      <c r="C29" s="46" t="s">
        <v>38</v>
      </c>
      <c r="D29" s="27">
        <v>4</v>
      </c>
      <c r="E29" s="27">
        <v>100</v>
      </c>
      <c r="F29" s="27">
        <v>2000</v>
      </c>
      <c r="G29" s="24"/>
      <c r="H29" s="25"/>
      <c r="I29" s="25"/>
    </row>
    <row r="30" spans="1:9" x14ac:dyDescent="0.3">
      <c r="A30" s="44" t="s">
        <v>39</v>
      </c>
      <c r="B30" s="44"/>
      <c r="C30" s="46" t="s">
        <v>38</v>
      </c>
      <c r="D30" s="27">
        <v>2</v>
      </c>
      <c r="E30" s="27">
        <v>20</v>
      </c>
      <c r="F30" s="27">
        <v>1000</v>
      </c>
      <c r="G30" s="24"/>
      <c r="H30" s="25"/>
      <c r="I30" s="25"/>
    </row>
    <row r="31" spans="1:9" x14ac:dyDescent="0.3">
      <c r="A31" s="44" t="s">
        <v>37</v>
      </c>
      <c r="B31" s="44"/>
      <c r="C31" s="46" t="s">
        <v>36</v>
      </c>
      <c r="D31" s="28">
        <f>SUM(D29*D28*D30)</f>
        <v>4</v>
      </c>
      <c r="E31" s="28">
        <f t="shared" ref="E31:F31" si="16">SUM(E29*E28*E30)</f>
        <v>2000</v>
      </c>
      <c r="F31" s="28">
        <f t="shared" si="16"/>
        <v>20000000</v>
      </c>
      <c r="G31" s="24"/>
      <c r="H31" s="25" t="s">
        <v>119</v>
      </c>
      <c r="I31" s="25"/>
    </row>
    <row r="32" spans="1:9" x14ac:dyDescent="0.3">
      <c r="A32" s="44" t="s">
        <v>35</v>
      </c>
      <c r="B32" s="44"/>
      <c r="C32" s="46" t="s">
        <v>34</v>
      </c>
      <c r="D32" s="29">
        <f>D28*60/(3.1416*D5)</f>
        <v>9.549274255156609E-2</v>
      </c>
      <c r="E32" s="29">
        <f t="shared" ref="E32:F32" si="17">E28*60/(3.1416*E5)</f>
        <v>1.9098548510313215E-2</v>
      </c>
      <c r="F32" s="29">
        <f t="shared" si="17"/>
        <v>1.9098548510313217E-3</v>
      </c>
      <c r="G32" s="30"/>
      <c r="H32" s="25" t="s">
        <v>33</v>
      </c>
      <c r="I32" s="25"/>
    </row>
    <row r="33" spans="1:9" x14ac:dyDescent="0.3">
      <c r="A33" s="44" t="s">
        <v>32</v>
      </c>
      <c r="B33" s="44"/>
      <c r="C33" s="46"/>
      <c r="D33" s="31">
        <f>D32*D32*1.118*0.001*(D5/2)</f>
        <v>5.0974449089310027E-4</v>
      </c>
      <c r="E33" s="31">
        <f t="shared" ref="E33:F33" si="18">E32*E32*1.118*0.001*(E5/2)</f>
        <v>2.0389779635724003E-4</v>
      </c>
      <c r="F33" s="31">
        <f t="shared" si="18"/>
        <v>2.0389779635724003E-4</v>
      </c>
      <c r="G33" s="30"/>
      <c r="H33" s="25" t="s">
        <v>139</v>
      </c>
      <c r="I33" s="25"/>
    </row>
    <row r="34" spans="1:9" ht="28.8" x14ac:dyDescent="0.3">
      <c r="A34" s="44" t="s">
        <v>130</v>
      </c>
      <c r="B34" s="44"/>
      <c r="C34" s="46"/>
      <c r="D34" s="32">
        <v>4</v>
      </c>
      <c r="E34" s="32">
        <v>16</v>
      </c>
      <c r="F34" s="32">
        <v>1000</v>
      </c>
      <c r="G34" s="24"/>
      <c r="H34" s="25" t="s">
        <v>30</v>
      </c>
      <c r="I34" s="25"/>
    </row>
    <row r="35" spans="1:9" x14ac:dyDescent="0.3">
      <c r="A35" s="44" t="s">
        <v>29</v>
      </c>
      <c r="B35" s="44"/>
      <c r="C35" s="46" t="s">
        <v>27</v>
      </c>
      <c r="D35" s="82">
        <f>D36/D34</f>
        <v>1.082E-2</v>
      </c>
      <c r="E35" s="82">
        <f t="shared" ref="E35:F35" si="19">E36/E34</f>
        <v>5.68</v>
      </c>
      <c r="F35" s="82">
        <f t="shared" si="19"/>
        <v>56800</v>
      </c>
      <c r="G35" s="24"/>
      <c r="H35" s="25"/>
      <c r="I35" s="25"/>
    </row>
    <row r="36" spans="1:9" x14ac:dyDescent="0.3">
      <c r="A36" s="44" t="s">
        <v>28</v>
      </c>
      <c r="B36" s="44"/>
      <c r="C36" s="46" t="s">
        <v>27</v>
      </c>
      <c r="D36" s="82">
        <f>SUM(D31*D45*D34)/1000000</f>
        <v>4.3279999999999999E-2</v>
      </c>
      <c r="E36" s="82">
        <f>SUM(E31*E45*E34)/1000000</f>
        <v>90.88</v>
      </c>
      <c r="F36" s="82">
        <f>SUM(F31*F45*F34)/1000000</f>
        <v>56800000</v>
      </c>
      <c r="G36" s="30"/>
      <c r="H36" s="25" t="s">
        <v>140</v>
      </c>
      <c r="I36" s="25"/>
    </row>
    <row r="37" spans="1:9" x14ac:dyDescent="0.3">
      <c r="A37" s="44" t="s">
        <v>26</v>
      </c>
      <c r="B37" s="44"/>
      <c r="C37" s="46" t="s">
        <v>9</v>
      </c>
      <c r="D37" s="23">
        <v>0.9</v>
      </c>
      <c r="E37" s="23">
        <v>0.9</v>
      </c>
      <c r="F37" s="23">
        <v>0.9</v>
      </c>
      <c r="G37" s="30"/>
      <c r="H37" s="25" t="s">
        <v>25</v>
      </c>
      <c r="I37" s="25"/>
    </row>
    <row r="38" spans="1:9" ht="28.8" x14ac:dyDescent="0.3">
      <c r="A38" s="44" t="s">
        <v>120</v>
      </c>
      <c r="B38" s="44"/>
      <c r="C38" s="84" t="s">
        <v>121</v>
      </c>
      <c r="D38" s="83">
        <f>D12/(D29*D30/1000)/1000</f>
        <v>1.5349429200000393</v>
      </c>
      <c r="E38" s="83">
        <f>(E9+E10)/(E29*E30/1000)/1000</f>
        <v>1.0347572999999999</v>
      </c>
      <c r="F38" s="83">
        <f>(F9+F10)/(F29*F30/1000)/1000</f>
        <v>2.0705429199999998</v>
      </c>
      <c r="G38" s="30"/>
      <c r="H38" s="25" t="s">
        <v>141</v>
      </c>
      <c r="I38" s="25"/>
    </row>
    <row r="39" spans="1:9" x14ac:dyDescent="0.3">
      <c r="A39" s="44" t="s">
        <v>23</v>
      </c>
      <c r="B39" s="44"/>
      <c r="C39" s="46" t="s">
        <v>24</v>
      </c>
      <c r="D39" s="28">
        <f>((D38*1000)/D32)/60/24/D34/D37*1000</f>
        <v>3100.6794479630421</v>
      </c>
      <c r="E39" s="28">
        <f t="shared" ref="E39:F39" si="20">((E38*1000)/E32)/60/24/E34/E37*1000</f>
        <v>2612.842024884259</v>
      </c>
      <c r="F39" s="28">
        <f t="shared" si="20"/>
        <v>836.52490193827146</v>
      </c>
      <c r="G39" s="30"/>
      <c r="H39" s="1" t="s">
        <v>142</v>
      </c>
      <c r="I39" s="25"/>
    </row>
    <row r="40" spans="1:9" x14ac:dyDescent="0.3">
      <c r="A40" s="45" t="s">
        <v>23</v>
      </c>
      <c r="B40" s="45"/>
      <c r="C40" s="52" t="s">
        <v>22</v>
      </c>
      <c r="D40" s="37">
        <f>SUM(D39)/365</f>
        <v>8.4950121862001158</v>
      </c>
      <c r="E40" s="37">
        <f t="shared" ref="E40:F40" si="21">SUM(E39)/365</f>
        <v>7.1584713010527645</v>
      </c>
      <c r="F40" s="37">
        <f t="shared" si="21"/>
        <v>2.2918490464062233</v>
      </c>
      <c r="G40" s="30"/>
      <c r="H40" s="25"/>
      <c r="I40" s="25"/>
    </row>
    <row r="41" spans="1:9" x14ac:dyDescent="0.3">
      <c r="A41" s="86"/>
      <c r="B41" s="86"/>
      <c r="C41" s="86"/>
      <c r="D41" s="86"/>
      <c r="E41" s="86"/>
      <c r="F41" s="86"/>
      <c r="G41" s="86"/>
    </row>
    <row r="42" spans="1:9" ht="21" x14ac:dyDescent="0.3">
      <c r="A42" s="70" t="s">
        <v>124</v>
      </c>
      <c r="B42" s="10"/>
    </row>
    <row r="44" spans="1:9" x14ac:dyDescent="0.3">
      <c r="A44" s="44" t="s">
        <v>56</v>
      </c>
      <c r="B44" s="44"/>
      <c r="C44" s="46"/>
      <c r="D44" s="27"/>
      <c r="E44" s="27"/>
      <c r="F44" s="27"/>
      <c r="G44" s="24"/>
      <c r="H44" s="25"/>
      <c r="I44" s="25"/>
    </row>
    <row r="45" spans="1:9" x14ac:dyDescent="0.3">
      <c r="A45" s="44" t="s">
        <v>55</v>
      </c>
      <c r="B45" s="44"/>
      <c r="C45" s="46" t="s">
        <v>54</v>
      </c>
      <c r="D45" s="71">
        <f>'Materials Table All'!E23</f>
        <v>2705</v>
      </c>
      <c r="E45" s="71">
        <f>'Materials Table All'!F23</f>
        <v>2840</v>
      </c>
      <c r="F45" s="71">
        <f>'Materials Table All'!G23</f>
        <v>2840</v>
      </c>
      <c r="G45" s="24"/>
      <c r="H45" s="25" t="s">
        <v>53</v>
      </c>
      <c r="I45" s="25"/>
    </row>
    <row r="46" spans="1:9" x14ac:dyDescent="0.3">
      <c r="A46" s="44" t="s">
        <v>52</v>
      </c>
      <c r="B46" s="44"/>
      <c r="C46" s="46" t="s">
        <v>9</v>
      </c>
      <c r="D46" s="23">
        <v>0.5</v>
      </c>
      <c r="E46" s="23">
        <v>1</v>
      </c>
      <c r="F46" s="23">
        <v>0.5</v>
      </c>
      <c r="G46" s="24"/>
      <c r="H46" s="25"/>
      <c r="I46" s="25"/>
    </row>
    <row r="47" spans="1:9" x14ac:dyDescent="0.3">
      <c r="A47" s="45" t="s">
        <v>51</v>
      </c>
      <c r="B47" s="45"/>
      <c r="C47" s="52" t="s">
        <v>50</v>
      </c>
      <c r="D47" s="26">
        <f>SUM(D21)*D45/1000*D46</f>
        <v>493.61559780681034</v>
      </c>
      <c r="E47" s="26">
        <f>SUM(E21)*E45/1000*E46</f>
        <v>2578648.0804761518</v>
      </c>
      <c r="F47" s="26">
        <f>SUM(F21)*F45/1000*F46</f>
        <v>1951024364694.4468</v>
      </c>
      <c r="G47" s="69">
        <v>420</v>
      </c>
      <c r="H47" s="25"/>
      <c r="I47" s="25" t="s">
        <v>49</v>
      </c>
    </row>
    <row r="48" spans="1:9" ht="28.8" x14ac:dyDescent="0.3">
      <c r="A48" s="45" t="s">
        <v>115</v>
      </c>
      <c r="B48" s="45"/>
      <c r="C48" s="52" t="s">
        <v>116</v>
      </c>
      <c r="D48" s="66">
        <f>D47/D39</f>
        <v>0.15919594595019676</v>
      </c>
      <c r="E48" s="66">
        <f>E47/E39</f>
        <v>986.91312215493701</v>
      </c>
      <c r="F48" s="66">
        <f>F47/F39</f>
        <v>2332296815.2816758</v>
      </c>
      <c r="G48" s="24"/>
      <c r="H48" s="25"/>
      <c r="I48" s="25"/>
    </row>
    <row r="49" spans="1:9" ht="28.8" x14ac:dyDescent="0.3">
      <c r="A49" s="45" t="s">
        <v>48</v>
      </c>
      <c r="B49" s="45"/>
      <c r="C49" s="52"/>
      <c r="D49" s="33">
        <f>SUM(D47/64)</f>
        <v>7.7127437157314116</v>
      </c>
      <c r="E49" s="33">
        <f t="shared" ref="E49:F49" si="22">SUM(E47/64)</f>
        <v>40291.376257439872</v>
      </c>
      <c r="F49" s="33">
        <f t="shared" si="22"/>
        <v>30484755698.350731</v>
      </c>
      <c r="G49" s="24"/>
      <c r="H49" s="25" t="s">
        <v>47</v>
      </c>
      <c r="I49" s="65" t="s">
        <v>113</v>
      </c>
    </row>
    <row r="50" spans="1:9" ht="28.8" x14ac:dyDescent="0.3">
      <c r="A50" s="44" t="s">
        <v>132</v>
      </c>
      <c r="B50" s="44"/>
      <c r="C50" s="46" t="s">
        <v>133</v>
      </c>
      <c r="D50" s="87">
        <v>150</v>
      </c>
      <c r="E50" s="87">
        <v>150</v>
      </c>
      <c r="F50" s="87">
        <v>150</v>
      </c>
      <c r="G50" s="24"/>
      <c r="H50" s="25" t="s">
        <v>131</v>
      </c>
      <c r="I50" s="65" t="s">
        <v>113</v>
      </c>
    </row>
    <row r="51" spans="1:9" x14ac:dyDescent="0.3">
      <c r="A51" s="45" t="s">
        <v>46</v>
      </c>
      <c r="B51" s="45"/>
      <c r="C51" s="52" t="s">
        <v>24</v>
      </c>
      <c r="D51" s="37">
        <f>SUM(365/(D49/D40))</f>
        <v>402.02028775294269</v>
      </c>
      <c r="E51" s="37">
        <f>SUM(365/(E49/E40))</f>
        <v>6.4848666577920461E-2</v>
      </c>
      <c r="F51" s="37">
        <f>SUM(365/(F49/F40))</f>
        <v>2.744076121900917E-8</v>
      </c>
      <c r="G51" s="24"/>
      <c r="H51" s="25"/>
      <c r="I51" s="25"/>
    </row>
    <row r="52" spans="1:9" x14ac:dyDescent="0.3">
      <c r="A52" s="45" t="s">
        <v>114</v>
      </c>
      <c r="B52" s="45"/>
      <c r="C52" s="52" t="s">
        <v>118</v>
      </c>
      <c r="D52" s="66">
        <f>SUM(D49*D50/1000)</f>
        <v>1.1569115573597117</v>
      </c>
      <c r="E52" s="66">
        <f t="shared" ref="E52:F52" si="23">SUM(E49*E50/1000)</f>
        <v>6043.7064386159809</v>
      </c>
      <c r="F52" s="66">
        <f t="shared" si="23"/>
        <v>4572713354.7526093</v>
      </c>
      <c r="G52" s="24"/>
      <c r="H52" s="25"/>
      <c r="I52" s="25"/>
    </row>
    <row r="54" spans="1:9" ht="21" x14ac:dyDescent="0.3">
      <c r="A54" s="70" t="s">
        <v>21</v>
      </c>
      <c r="B54" s="10"/>
      <c r="G54" s="8"/>
    </row>
    <row r="55" spans="1:9" x14ac:dyDescent="0.3">
      <c r="G55" s="8"/>
    </row>
    <row r="56" spans="1:9" x14ac:dyDescent="0.3">
      <c r="A56" s="54" t="s">
        <v>20</v>
      </c>
      <c r="B56" s="54"/>
      <c r="C56" s="55" t="s">
        <v>19</v>
      </c>
      <c r="D56" s="72">
        <f>'Materials Table All'!K$23*3600/1000000</f>
        <v>2.0699999999999998</v>
      </c>
      <c r="E56" s="72">
        <f>'Materials Table All'!L$23*3600/1000000</f>
        <v>0.54</v>
      </c>
      <c r="F56" s="72">
        <f>'Materials Table All'!M$23*3600/1000000</f>
        <v>0.54</v>
      </c>
      <c r="G56" s="39"/>
      <c r="H56" s="20"/>
      <c r="I56" s="20"/>
    </row>
    <row r="57" spans="1:9" x14ac:dyDescent="0.3">
      <c r="A57" s="54" t="s">
        <v>18</v>
      </c>
      <c r="B57" s="54"/>
      <c r="C57" s="55" t="s">
        <v>17</v>
      </c>
      <c r="D57" s="21">
        <f>SUM(D47*D56)</f>
        <v>1021.7842874600973</v>
      </c>
      <c r="E57" s="21">
        <f>SUM(E47*E56)</f>
        <v>1392469.963457122</v>
      </c>
      <c r="F57" s="21">
        <f>SUM(F47*F56)</f>
        <v>1053553156935.0013</v>
      </c>
      <c r="G57" s="39"/>
      <c r="H57" s="20"/>
      <c r="I57" s="20"/>
    </row>
    <row r="58" spans="1:9" ht="28.8" x14ac:dyDescent="0.3">
      <c r="A58" s="54" t="s">
        <v>107</v>
      </c>
      <c r="B58" s="54"/>
      <c r="C58" s="55" t="s">
        <v>9</v>
      </c>
      <c r="D58" s="43">
        <v>0.7</v>
      </c>
      <c r="E58" s="43">
        <v>0.7</v>
      </c>
      <c r="F58" s="43">
        <v>0.7</v>
      </c>
      <c r="G58" s="39"/>
      <c r="H58" s="20" t="s">
        <v>108</v>
      </c>
      <c r="I58" s="20"/>
    </row>
    <row r="59" spans="1:9" ht="43.2" x14ac:dyDescent="0.3">
      <c r="A59" s="56" t="s">
        <v>16</v>
      </c>
      <c r="B59" s="56"/>
      <c r="C59" s="57" t="s">
        <v>15</v>
      </c>
      <c r="D59" s="22">
        <f>D56*1000*D36/D58</f>
        <v>127.98514285714288</v>
      </c>
      <c r="E59" s="22">
        <f t="shared" ref="E59:F59" si="24">E56*1000*E36/E58</f>
        <v>70107.428571428565</v>
      </c>
      <c r="F59" s="22">
        <f t="shared" si="24"/>
        <v>43817142857.14286</v>
      </c>
      <c r="G59" s="67">
        <v>120</v>
      </c>
      <c r="H59" s="20" t="s">
        <v>129</v>
      </c>
      <c r="I59" s="20"/>
    </row>
    <row r="60" spans="1:9" ht="28.8" x14ac:dyDescent="0.3">
      <c r="A60" s="54" t="s">
        <v>13</v>
      </c>
      <c r="B60" s="54"/>
      <c r="C60" s="55" t="s">
        <v>12</v>
      </c>
      <c r="D60" s="68">
        <v>1365</v>
      </c>
      <c r="E60" s="68">
        <v>1365</v>
      </c>
      <c r="F60" s="68">
        <v>1365</v>
      </c>
      <c r="G60" s="40"/>
      <c r="H60" s="20" t="s">
        <v>145</v>
      </c>
      <c r="I60" s="42" t="s">
        <v>11</v>
      </c>
    </row>
    <row r="61" spans="1:9" x14ac:dyDescent="0.3">
      <c r="A61" s="54" t="s">
        <v>10</v>
      </c>
      <c r="B61" s="54"/>
      <c r="C61" s="55" t="s">
        <v>9</v>
      </c>
      <c r="D61" s="43">
        <v>0.3</v>
      </c>
      <c r="E61" s="43">
        <v>0.3</v>
      </c>
      <c r="F61" s="43">
        <v>0.3</v>
      </c>
      <c r="G61" s="39"/>
      <c r="H61" s="20"/>
      <c r="I61" s="20"/>
    </row>
    <row r="62" spans="1:9" ht="28.8" x14ac:dyDescent="0.3">
      <c r="A62" s="56" t="s">
        <v>148</v>
      </c>
      <c r="B62" s="56"/>
      <c r="C62" s="57" t="s">
        <v>3</v>
      </c>
      <c r="D62" s="22">
        <f>SUM(D59/D60)*1000/D61</f>
        <v>312.54003139717435</v>
      </c>
      <c r="E62" s="22">
        <f t="shared" ref="E62:F62" si="25">SUM(E59/E60)*1000/E61</f>
        <v>171202.51177394035</v>
      </c>
      <c r="F62" s="22">
        <f t="shared" si="25"/>
        <v>107001569858.71274</v>
      </c>
      <c r="H62" s="20" t="s">
        <v>146</v>
      </c>
      <c r="I62" s="42" t="s">
        <v>7</v>
      </c>
    </row>
    <row r="63" spans="1:9" x14ac:dyDescent="0.3">
      <c r="A63" s="54" t="s">
        <v>2</v>
      </c>
      <c r="B63" s="54"/>
      <c r="C63" s="55" t="s">
        <v>0</v>
      </c>
      <c r="D63" s="21">
        <f>SQRT(D62)</f>
        <v>17.678801752301379</v>
      </c>
      <c r="E63" s="21">
        <f>SQRT(E62)</f>
        <v>413.76625257981146</v>
      </c>
      <c r="F63" s="21">
        <f>SQRT(F62)</f>
        <v>327110.94426618126</v>
      </c>
      <c r="G63" s="67">
        <f>SQRT(G65)</f>
        <v>50</v>
      </c>
      <c r="H63" s="20" t="s">
        <v>6</v>
      </c>
      <c r="I63" s="20"/>
    </row>
    <row r="64" spans="1:9" x14ac:dyDescent="0.3">
      <c r="A64" s="54" t="s">
        <v>1</v>
      </c>
      <c r="B64" s="54"/>
      <c r="C64" s="55" t="s">
        <v>0</v>
      </c>
      <c r="D64" s="21">
        <f>SQRT(D62*4/3.14)</f>
        <v>19.953450012089025</v>
      </c>
      <c r="E64" s="21">
        <f>SQRT(E62*4/3.14)</f>
        <v>467.00360992881866</v>
      </c>
      <c r="F64" s="21">
        <f>SQRT(F62*4/3.14)</f>
        <v>369198.77072397282</v>
      </c>
      <c r="G64" s="67">
        <f>SQRT(G65*4/3.14)</f>
        <v>56.433264798310034</v>
      </c>
      <c r="H64" s="20" t="s">
        <v>5</v>
      </c>
      <c r="I64" s="20"/>
    </row>
    <row r="65" spans="1:9" x14ac:dyDescent="0.3">
      <c r="A65" s="56" t="s">
        <v>4</v>
      </c>
      <c r="B65" s="56"/>
      <c r="C65" s="57" t="s">
        <v>3</v>
      </c>
      <c r="D65" s="22">
        <f>D59/$G59*$G65/D58</f>
        <v>3809.0816326530617</v>
      </c>
      <c r="E65" s="22">
        <f>E59/$G59*$G65/E58</f>
        <v>2086530.6122448978</v>
      </c>
      <c r="F65" s="22">
        <f>F59/$G59*$G65/F58</f>
        <v>1304081632653.0615</v>
      </c>
      <c r="G65" s="67">
        <v>2500</v>
      </c>
      <c r="H65" s="20" t="s">
        <v>147</v>
      </c>
      <c r="I65" s="20"/>
    </row>
    <row r="66" spans="1:9" x14ac:dyDescent="0.3">
      <c r="A66" s="54" t="s">
        <v>2</v>
      </c>
      <c r="B66" s="54"/>
      <c r="C66" s="55" t="s">
        <v>0</v>
      </c>
      <c r="D66" s="21">
        <f>SQRT(D65)</f>
        <v>61.717757838834856</v>
      </c>
      <c r="E66" s="21">
        <f>SQRT(E65)</f>
        <v>1444.4828182588042</v>
      </c>
      <c r="F66" s="21">
        <f>SQRT(F65)</f>
        <v>1141963.9366692198</v>
      </c>
      <c r="G66" s="19"/>
      <c r="H66" s="20"/>
      <c r="I66" s="20"/>
    </row>
    <row r="67" spans="1:9" x14ac:dyDescent="0.3">
      <c r="A67" s="54" t="s">
        <v>1</v>
      </c>
      <c r="B67" s="54"/>
      <c r="C67" s="55" t="s">
        <v>0</v>
      </c>
      <c r="D67" s="21">
        <f>SQRT(D65*4/3.14)</f>
        <v>69.658691417538847</v>
      </c>
      <c r="E67" s="21">
        <f>SQRT(E65*4/3.14)</f>
        <v>1630.3376275881649</v>
      </c>
      <c r="F67" s="21">
        <f>SQRT(F65*4/3.14)</f>
        <v>1288895.0645634923</v>
      </c>
      <c r="G67" s="19"/>
      <c r="H67" s="20"/>
      <c r="I67" s="20"/>
    </row>
    <row r="69" spans="1:9" x14ac:dyDescent="0.3">
      <c r="A69" s="27" t="s">
        <v>109</v>
      </c>
    </row>
    <row r="70" spans="1:9" x14ac:dyDescent="0.3">
      <c r="A70" s="68" t="s">
        <v>110</v>
      </c>
    </row>
    <row r="71" spans="1:9" x14ac:dyDescent="0.3">
      <c r="A71" s="21" t="s">
        <v>117</v>
      </c>
    </row>
    <row r="81" spans="4:5" x14ac:dyDescent="0.3">
      <c r="D81" s="4" t="s">
        <v>126</v>
      </c>
      <c r="E81" s="4">
        <f>8/(2*4)*1000000</f>
        <v>1000000</v>
      </c>
    </row>
    <row r="82" spans="4:5" x14ac:dyDescent="0.3">
      <c r="D82" s="4" t="s">
        <v>125</v>
      </c>
      <c r="E82" s="4">
        <f>SUM(E81/E32)</f>
        <v>52360000</v>
      </c>
    </row>
    <row r="83" spans="4:5" x14ac:dyDescent="0.3">
      <c r="D83" s="4" t="s">
        <v>24</v>
      </c>
      <c r="E83" s="4">
        <f>SUM(E82/60/24)</f>
        <v>36361.111111111109</v>
      </c>
    </row>
    <row r="84" spans="4:5" x14ac:dyDescent="0.3">
      <c r="D84" s="4" t="s">
        <v>22</v>
      </c>
      <c r="E84" s="4">
        <f>SUM(E83/365)</f>
        <v>99.61948249619482</v>
      </c>
    </row>
  </sheetData>
  <hyperlinks>
    <hyperlink ref="I60" r:id="rId1" xr:uid="{9115B882-3ECF-460D-B06C-3533DB3DE6F0}"/>
    <hyperlink ref="I62" r:id="rId2" xr:uid="{7EA4029F-5DAE-4621-B1B4-9E99461EEA23}"/>
    <hyperlink ref="I49" r:id="rId3" xr:uid="{0D95EAC8-516F-46EB-AE4B-67E0B11A03B0}"/>
    <hyperlink ref="I50" r:id="rId4" xr:uid="{CC0E9CEB-058E-4013-ADCD-0A0F076E8140}"/>
  </hyperlinks>
  <pageMargins left="0.7" right="0.7" top="0.75" bottom="0.75" header="0.3" footer="0.3"/>
  <pageSetup paperSize="9" orientation="portrait" horizontalDpi="4294967293" verticalDpi="300" r:id="rId5"/>
  <drawing r:id="rId6"/>
  <legacyDrawing r:id="rId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8" name="Drop Down 1">
              <controlPr defaultSize="0" autoLine="0" autoPict="0">
                <anchor moveWithCells="1">
                  <from>
                    <xdr:col>2</xdr:col>
                    <xdr:colOff>609600</xdr:colOff>
                    <xdr:row>42</xdr:row>
                    <xdr:rowOff>175260</xdr:rowOff>
                  </from>
                  <to>
                    <xdr:col>4</xdr:col>
                    <xdr:colOff>7620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9" name="Drop Down 2">
              <controlPr defaultSize="0" autoLine="0" autoPict="0">
                <anchor moveWithCells="1">
                  <from>
                    <xdr:col>4</xdr:col>
                    <xdr:colOff>0</xdr:colOff>
                    <xdr:row>42</xdr:row>
                    <xdr:rowOff>182880</xdr:rowOff>
                  </from>
                  <to>
                    <xdr:col>5</xdr:col>
                    <xdr:colOff>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10" name="Drop Down 3">
              <controlPr defaultSize="0" autoLine="0" autoPict="0">
                <anchor moveWithCells="1">
                  <from>
                    <xdr:col>5</xdr:col>
                    <xdr:colOff>0</xdr:colOff>
                    <xdr:row>42</xdr:row>
                    <xdr:rowOff>175260</xdr:rowOff>
                  </from>
                  <to>
                    <xdr:col>6</xdr:col>
                    <xdr:colOff>0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Basic Calcs Comparison</vt:lpstr>
      <vt:lpstr>gravity chart</vt:lpstr>
      <vt:lpstr>Sheet7</vt:lpstr>
      <vt:lpstr>Chart Comparison</vt:lpstr>
      <vt:lpstr>Materials Properties</vt:lpstr>
      <vt:lpstr>Basic Calcs</vt:lpstr>
      <vt:lpstr>Materials Table</vt:lpstr>
      <vt:lpstr>Charts</vt:lpstr>
      <vt:lpstr>Basic Calcs 100m</vt:lpstr>
      <vt:lpstr>Charts 100m</vt:lpstr>
      <vt:lpstr>Materials Table 100m</vt:lpstr>
      <vt:lpstr>Charts All</vt:lpstr>
      <vt:lpstr>Materials Table All</vt:lpstr>
      <vt:lpstr>Basic Calcs 1km</vt:lpstr>
      <vt:lpstr>Charts 1km</vt:lpstr>
      <vt:lpstr>Materials Table 1km</vt:lpstr>
      <vt:lpstr>Basic Calcs 10km</vt:lpstr>
      <vt:lpstr>Data for Figures</vt:lpstr>
      <vt:lpstr>Torus Calcs</vt:lpstr>
      <vt:lpstr>Charts 100km</vt:lpstr>
      <vt:lpstr>Materials Table 100km</vt:lpstr>
      <vt:lpstr>Basic Calcs 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waterman</dc:creator>
  <cp:lastModifiedBy>mark waterman</cp:lastModifiedBy>
  <dcterms:created xsi:type="dcterms:W3CDTF">2020-09-14T21:13:28Z</dcterms:created>
  <dcterms:modified xsi:type="dcterms:W3CDTF">2025-11-10T20:29:51Z</dcterms:modified>
</cp:coreProperties>
</file>